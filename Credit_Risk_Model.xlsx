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shikumar/Desktop/AIB_Credit_Risk_Project/"/>
    </mc:Choice>
  </mc:AlternateContent>
  <xr:revisionPtr revIDLastSave="0" documentId="13_ncr:1_{5715CC59-55F8-564F-9698-6AE9BD8BC055}" xr6:coauthVersionLast="47" xr6:coauthVersionMax="47" xr10:uidLastSave="{00000000-0000-0000-0000-000000000000}"/>
  <bookViews>
    <workbookView xWindow="0" yWindow="620" windowWidth="28800" windowHeight="15600" firstSheet="1" activeTab="2" xr2:uid="{1E614A50-3CD4-3E47-843C-020B46930EA8}"/>
  </bookViews>
  <sheets>
    <sheet name="Raw Data" sheetId="1" r:id="rId1"/>
    <sheet name="EL Loss model" sheetId="2" r:id="rId2"/>
    <sheet name="Macro Regression" sheetId="10" r:id="rId3"/>
    <sheet name="Stress Testing" sheetId="13" r:id="rId4"/>
    <sheet name="PSI Analysis" sheetId="12" r:id="rId5"/>
    <sheet name="Data-&gt;" sheetId="4" r:id="rId6"/>
    <sheet name="2025" sheetId="3" r:id="rId7"/>
    <sheet name="2024" sheetId="5" r:id="rId8"/>
    <sheet name="2023" sheetId="6" r:id="rId9"/>
    <sheet name="2022" sheetId="7" r:id="rId10"/>
    <sheet name="2021" sheetId="8" r:id="rId11"/>
    <sheet name="2020" sheetId="9" r:id="rId12"/>
    <sheet name="Macro Forcast(5y)" sheetId="15" r:id="rId13"/>
    <sheet name="Macro(5y Avg)" sheetId="14" r:id="rId1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9" i="10" l="1"/>
  <c r="C29" i="10"/>
  <c r="D28" i="10"/>
  <c r="E28" i="10"/>
  <c r="F28" i="10"/>
  <c r="C28" i="10"/>
  <c r="D26" i="10"/>
  <c r="E26" i="10"/>
  <c r="F26" i="10"/>
  <c r="C26" i="10"/>
  <c r="D25" i="10"/>
  <c r="D29" i="10" s="1"/>
  <c r="E25" i="10"/>
  <c r="E29" i="10" s="1"/>
  <c r="F25" i="10"/>
  <c r="C25" i="10"/>
  <c r="E6" i="10"/>
  <c r="E7" i="10"/>
  <c r="E8" i="10"/>
  <c r="E9" i="10"/>
  <c r="E10" i="10"/>
  <c r="E5" i="10"/>
  <c r="B49" i="14"/>
  <c r="B50" i="14" s="1"/>
  <c r="B51" i="14" s="1"/>
  <c r="B52" i="14" s="1"/>
  <c r="B53" i="14" s="1"/>
  <c r="C53" i="14"/>
  <c r="D19" i="12" l="1"/>
  <c r="D20" i="12" s="1"/>
  <c r="E9" i="12"/>
  <c r="F9" i="12"/>
  <c r="G9" i="12"/>
  <c r="H9" i="12"/>
  <c r="D9" i="12"/>
  <c r="E20" i="12"/>
  <c r="F20" i="12"/>
  <c r="G20" i="12"/>
  <c r="H20" i="12"/>
  <c r="E19" i="12"/>
  <c r="F19" i="12"/>
  <c r="G19" i="12"/>
  <c r="H19" i="12"/>
  <c r="C19" i="12"/>
  <c r="D15" i="12"/>
  <c r="E15" i="12"/>
  <c r="F15" i="12"/>
  <c r="G15" i="12"/>
  <c r="H15" i="12"/>
  <c r="D16" i="12"/>
  <c r="E16" i="12"/>
  <c r="F16" i="12"/>
  <c r="G16" i="12"/>
  <c r="H16" i="12"/>
  <c r="D17" i="12"/>
  <c r="E17" i="12"/>
  <c r="F17" i="12"/>
  <c r="G17" i="12"/>
  <c r="H17" i="12"/>
  <c r="D18" i="12"/>
  <c r="E18" i="12"/>
  <c r="F18" i="12"/>
  <c r="G18" i="12"/>
  <c r="H18" i="12"/>
  <c r="C15" i="12"/>
  <c r="C16" i="12"/>
  <c r="C17" i="12"/>
  <c r="C18" i="12"/>
  <c r="C14" i="12"/>
  <c r="D14" i="12"/>
  <c r="E14" i="12"/>
  <c r="F14" i="12"/>
  <c r="G14" i="12"/>
  <c r="H14" i="12"/>
  <c r="E13" i="12"/>
  <c r="F13" i="12" s="1"/>
  <c r="G13" i="12" s="1"/>
  <c r="H13" i="12" s="1"/>
  <c r="D13" i="12"/>
  <c r="D6" i="12"/>
  <c r="E6" i="12"/>
  <c r="F6" i="12"/>
  <c r="G6" i="12"/>
  <c r="H6" i="12"/>
  <c r="D7" i="12"/>
  <c r="E7" i="12"/>
  <c r="F7" i="12"/>
  <c r="G7" i="12"/>
  <c r="H7" i="12"/>
  <c r="E5" i="12"/>
  <c r="E8" i="12" s="1"/>
  <c r="F5" i="12"/>
  <c r="F8" i="12" s="1"/>
  <c r="G5" i="12"/>
  <c r="G8" i="12" s="1"/>
  <c r="H5" i="12"/>
  <c r="H8" i="12" s="1"/>
  <c r="D5" i="12"/>
  <c r="D8" i="12" s="1"/>
  <c r="C7" i="12"/>
  <c r="C6" i="12"/>
  <c r="C5" i="12"/>
  <c r="C8" i="12" s="1"/>
  <c r="D4" i="12"/>
  <c r="E4" i="12" s="1"/>
  <c r="F4" i="12" s="1"/>
  <c r="G4" i="12" s="1"/>
  <c r="H4" i="12" s="1"/>
  <c r="H31" i="13"/>
  <c r="H32" i="13"/>
  <c r="H33" i="13"/>
  <c r="H30" i="13"/>
  <c r="L17" i="13"/>
  <c r="L18" i="13"/>
  <c r="C34" i="13"/>
  <c r="C31" i="13"/>
  <c r="C32" i="13"/>
  <c r="C33" i="13"/>
  <c r="C30" i="13"/>
  <c r="D16" i="13"/>
  <c r="D25" i="13" s="1"/>
  <c r="E16" i="13"/>
  <c r="E25" i="13" s="1"/>
  <c r="F16" i="13"/>
  <c r="F25" i="13" s="1"/>
  <c r="C22" i="13"/>
  <c r="C23" i="13"/>
  <c r="C24" i="13"/>
  <c r="C25" i="13"/>
  <c r="C21" i="13"/>
  <c r="F4" i="13"/>
  <c r="F12" i="13" s="1"/>
  <c r="F21" i="13" s="1"/>
  <c r="F5" i="13"/>
  <c r="F13" i="13" s="1"/>
  <c r="F22" i="13" s="1"/>
  <c r="F6" i="13"/>
  <c r="F14" i="13" s="1"/>
  <c r="F23" i="13" s="1"/>
  <c r="F7" i="13"/>
  <c r="F15" i="13" s="1"/>
  <c r="F24" i="13" s="1"/>
  <c r="E4" i="13"/>
  <c r="E12" i="13" s="1"/>
  <c r="E21" i="13" s="1"/>
  <c r="E5" i="13"/>
  <c r="E13" i="13" s="1"/>
  <c r="E22" i="13" s="1"/>
  <c r="E6" i="13"/>
  <c r="E14" i="13" s="1"/>
  <c r="E23" i="13" s="1"/>
  <c r="E7" i="13"/>
  <c r="E15" i="13" s="1"/>
  <c r="E24" i="13" s="1"/>
  <c r="D5" i="13"/>
  <c r="D13" i="13" s="1"/>
  <c r="D22" i="13" s="1"/>
  <c r="D6" i="13"/>
  <c r="D14" i="13" s="1"/>
  <c r="D23" i="13" s="1"/>
  <c r="D7" i="13"/>
  <c r="D15" i="13" s="1"/>
  <c r="D24" i="13" s="1"/>
  <c r="D4" i="13"/>
  <c r="C4" i="13"/>
  <c r="C5" i="13"/>
  <c r="C6" i="13"/>
  <c r="C7" i="13"/>
  <c r="D20" i="10"/>
  <c r="D19" i="10"/>
  <c r="D18" i="10"/>
  <c r="D17" i="10"/>
  <c r="D16" i="10"/>
  <c r="D15" i="10"/>
  <c r="C42" i="2"/>
  <c r="D42" i="2"/>
  <c r="E42" i="2"/>
  <c r="F42" i="2"/>
  <c r="G42" i="2"/>
  <c r="H42" i="2"/>
  <c r="D41" i="2"/>
  <c r="E41" i="2" s="1"/>
  <c r="F41" i="2" s="1"/>
  <c r="G41" i="2" s="1"/>
  <c r="H41" i="2" s="1"/>
  <c r="D32" i="2"/>
  <c r="E32" i="2" s="1"/>
  <c r="F32" i="2" s="1"/>
  <c r="G32" i="2" s="1"/>
  <c r="H32" i="2" s="1"/>
  <c r="D23" i="2"/>
  <c r="E23" i="2" s="1"/>
  <c r="F23" i="2" s="1"/>
  <c r="G23" i="2" s="1"/>
  <c r="H23" i="2" s="1"/>
  <c r="D14" i="2"/>
  <c r="E14" i="2" s="1"/>
  <c r="F14" i="2" s="1"/>
  <c r="G14" i="2" s="1"/>
  <c r="H14" i="2" s="1"/>
  <c r="G24" i="13" l="1"/>
  <c r="H24" i="13" s="1"/>
  <c r="I24" i="13" s="1"/>
  <c r="F26" i="13"/>
  <c r="D33" i="13" s="1"/>
  <c r="L19" i="13"/>
  <c r="G22" i="13"/>
  <c r="H22" i="13" s="1"/>
  <c r="I22" i="13" s="1"/>
  <c r="G23" i="13"/>
  <c r="H23" i="13" s="1"/>
  <c r="I23" i="13" s="1"/>
  <c r="G25" i="13"/>
  <c r="H25" i="13" s="1"/>
  <c r="I25" i="13" s="1"/>
  <c r="E26" i="13"/>
  <c r="D32" i="13" s="1"/>
  <c r="C26" i="13"/>
  <c r="D30" i="13" s="1"/>
  <c r="D12" i="13"/>
  <c r="D21" i="13" s="1"/>
  <c r="D26" i="13" s="1"/>
  <c r="D31" i="13" s="1"/>
  <c r="H68" i="1"/>
  <c r="H67" i="1"/>
  <c r="H66" i="1"/>
  <c r="H65" i="1"/>
  <c r="H64" i="1"/>
  <c r="H63" i="1"/>
  <c r="R29" i="9"/>
  <c r="C39" i="1" s="1"/>
  <c r="C49" i="1" s="1"/>
  <c r="C38" i="1"/>
  <c r="C48" i="1" s="1"/>
  <c r="C37" i="1"/>
  <c r="C47" i="1" s="1"/>
  <c r="C16" i="2" s="1"/>
  <c r="C36" i="1"/>
  <c r="D38" i="1"/>
  <c r="D48" i="1" s="1"/>
  <c r="D37" i="1"/>
  <c r="D47" i="1" s="1"/>
  <c r="D16" i="2" s="1"/>
  <c r="D36" i="1"/>
  <c r="D46" i="1" s="1"/>
  <c r="E38" i="1"/>
  <c r="E48" i="1" s="1"/>
  <c r="E37" i="1"/>
  <c r="E36" i="1"/>
  <c r="E46" i="1" s="1"/>
  <c r="F38" i="1"/>
  <c r="F48" i="1" s="1"/>
  <c r="F37" i="1"/>
  <c r="F47" i="1" s="1"/>
  <c r="F16" i="2" s="1"/>
  <c r="F36" i="1"/>
  <c r="F46" i="1" s="1"/>
  <c r="G38" i="1"/>
  <c r="G37" i="1"/>
  <c r="G36" i="1"/>
  <c r="H38" i="1"/>
  <c r="H48" i="1" s="1"/>
  <c r="H37" i="1"/>
  <c r="H47" i="1" s="1"/>
  <c r="H16" i="2" s="1"/>
  <c r="H36" i="1"/>
  <c r="H46" i="1" s="1"/>
  <c r="E26" i="1"/>
  <c r="H27" i="1"/>
  <c r="H7" i="2" s="1"/>
  <c r="E28" i="1"/>
  <c r="E8" i="2" s="1"/>
  <c r="E35" i="2" s="1"/>
  <c r="C26" i="1"/>
  <c r="C6" i="2" s="1"/>
  <c r="C33" i="2" s="1"/>
  <c r="C18" i="1"/>
  <c r="C17" i="1"/>
  <c r="C27" i="1" s="1"/>
  <c r="C7" i="2" s="1"/>
  <c r="C34" i="2" s="1"/>
  <c r="C16" i="1"/>
  <c r="D18" i="1"/>
  <c r="D28" i="1" s="1"/>
  <c r="D8" i="2" s="1"/>
  <c r="D35" i="2" s="1"/>
  <c r="D17" i="1"/>
  <c r="D27" i="1" s="1"/>
  <c r="D7" i="2" s="1"/>
  <c r="D16" i="1"/>
  <c r="D26" i="1" s="1"/>
  <c r="E18" i="1"/>
  <c r="E17" i="1"/>
  <c r="E27" i="1" s="1"/>
  <c r="E7" i="2" s="1"/>
  <c r="E16" i="1"/>
  <c r="F20" i="1"/>
  <c r="F30" i="1" s="1"/>
  <c r="F18" i="1"/>
  <c r="F28" i="1" s="1"/>
  <c r="F8" i="2" s="1"/>
  <c r="F35" i="2" s="1"/>
  <c r="F17" i="1"/>
  <c r="F27" i="1" s="1"/>
  <c r="F7" i="2" s="1"/>
  <c r="F34" i="2" s="1"/>
  <c r="F16" i="1"/>
  <c r="F26" i="1" s="1"/>
  <c r="G18" i="1"/>
  <c r="G28" i="1" s="1"/>
  <c r="G8" i="2" s="1"/>
  <c r="G35" i="2" s="1"/>
  <c r="G17" i="1"/>
  <c r="G27" i="1" s="1"/>
  <c r="G7" i="2" s="1"/>
  <c r="G16" i="1"/>
  <c r="G26" i="1" s="1"/>
  <c r="H20" i="1"/>
  <c r="H18" i="1"/>
  <c r="H28" i="1" s="1"/>
  <c r="H8" i="2" s="1"/>
  <c r="H35" i="2" s="1"/>
  <c r="H17" i="1"/>
  <c r="H16" i="1"/>
  <c r="H26" i="1" s="1"/>
  <c r="C8" i="1"/>
  <c r="C26" i="2" s="1"/>
  <c r="C7" i="1"/>
  <c r="C25" i="2" s="1"/>
  <c r="C6" i="1"/>
  <c r="C24" i="2" s="1"/>
  <c r="D8" i="1"/>
  <c r="D26" i="2" s="1"/>
  <c r="D7" i="1"/>
  <c r="D25" i="2" s="1"/>
  <c r="D6" i="1"/>
  <c r="D24" i="2" s="1"/>
  <c r="D33" i="2" s="1"/>
  <c r="E10" i="1"/>
  <c r="E28" i="2" s="1"/>
  <c r="E37" i="2" s="1"/>
  <c r="E9" i="1"/>
  <c r="E27" i="2" s="1"/>
  <c r="E8" i="1"/>
  <c r="E26" i="2" s="1"/>
  <c r="E7" i="1"/>
  <c r="E25" i="2" s="1"/>
  <c r="E6" i="1"/>
  <c r="E24" i="2" s="1"/>
  <c r="E33" i="2" s="1"/>
  <c r="F10" i="1"/>
  <c r="F28" i="2" s="1"/>
  <c r="F37" i="2" s="1"/>
  <c r="F8" i="1"/>
  <c r="F26" i="2" s="1"/>
  <c r="F7" i="1"/>
  <c r="F25" i="2" s="1"/>
  <c r="F6" i="1"/>
  <c r="F24" i="2" s="1"/>
  <c r="F33" i="2" s="1"/>
  <c r="G8" i="1"/>
  <c r="G26" i="2" s="1"/>
  <c r="G7" i="1"/>
  <c r="G25" i="2" s="1"/>
  <c r="G6" i="1"/>
  <c r="G24" i="2" s="1"/>
  <c r="G33" i="2" s="1"/>
  <c r="H8" i="1"/>
  <c r="H26" i="2" s="1"/>
  <c r="H7" i="1"/>
  <c r="H25" i="2" s="1"/>
  <c r="H6" i="1"/>
  <c r="H24" i="2" s="1"/>
  <c r="H33" i="2" s="1"/>
  <c r="S29" i="9"/>
  <c r="S23" i="9"/>
  <c r="C40" i="1" s="1"/>
  <c r="R23" i="9"/>
  <c r="O29" i="9"/>
  <c r="O23" i="9"/>
  <c r="S13" i="9"/>
  <c r="C19" i="1" s="1"/>
  <c r="C29" i="1" s="1"/>
  <c r="C9" i="2" s="1"/>
  <c r="C36" i="2" s="1"/>
  <c r="R13" i="9"/>
  <c r="S7" i="9"/>
  <c r="R7" i="9"/>
  <c r="C20" i="1" s="1"/>
  <c r="C30" i="1" s="1"/>
  <c r="C10" i="2" s="1"/>
  <c r="C37" i="2" s="1"/>
  <c r="O13" i="9"/>
  <c r="C9" i="1" s="1"/>
  <c r="C27" i="2" s="1"/>
  <c r="O7" i="9"/>
  <c r="C10" i="1" s="1"/>
  <c r="C28" i="2" s="1"/>
  <c r="T28" i="8"/>
  <c r="S28" i="8"/>
  <c r="D39" i="1" s="1"/>
  <c r="D49" i="1" s="1"/>
  <c r="T22" i="8"/>
  <c r="S22" i="8"/>
  <c r="D40" i="1" s="1"/>
  <c r="D50" i="1" s="1"/>
  <c r="T13" i="8"/>
  <c r="S13" i="8"/>
  <c r="D19" i="1" s="1"/>
  <c r="D29" i="1" s="1"/>
  <c r="D9" i="2" s="1"/>
  <c r="D36" i="2" s="1"/>
  <c r="T7" i="8"/>
  <c r="D20" i="1" s="1"/>
  <c r="S7" i="8"/>
  <c r="P13" i="8"/>
  <c r="D9" i="1" s="1"/>
  <c r="D27" i="2" s="1"/>
  <c r="P7" i="8"/>
  <c r="D10" i="1" s="1"/>
  <c r="D28" i="2" s="1"/>
  <c r="D37" i="2" s="1"/>
  <c r="S37" i="7"/>
  <c r="R37" i="7"/>
  <c r="E39" i="1" s="1"/>
  <c r="E49" i="1" s="1"/>
  <c r="S30" i="7"/>
  <c r="R30" i="7"/>
  <c r="E40" i="1" s="1"/>
  <c r="E50" i="1" s="1"/>
  <c r="S9" i="7"/>
  <c r="S16" i="7"/>
  <c r="R16" i="7"/>
  <c r="E19" i="1" s="1"/>
  <c r="E29" i="1" s="1"/>
  <c r="E9" i="2" s="1"/>
  <c r="E36" i="2" s="1"/>
  <c r="R9" i="7"/>
  <c r="E20" i="1" s="1"/>
  <c r="E30" i="1" s="1"/>
  <c r="O18" i="7"/>
  <c r="O16" i="7"/>
  <c r="O9" i="7"/>
  <c r="S37" i="6"/>
  <c r="R37" i="6"/>
  <c r="F39" i="1" s="1"/>
  <c r="S30" i="6"/>
  <c r="R30" i="6"/>
  <c r="F40" i="1" s="1"/>
  <c r="F50" i="1" s="1"/>
  <c r="S17" i="6"/>
  <c r="R17" i="6"/>
  <c r="F19" i="1" s="1"/>
  <c r="F29" i="1" s="1"/>
  <c r="F9" i="2" s="1"/>
  <c r="S10" i="6"/>
  <c r="R10" i="6"/>
  <c r="O19" i="6"/>
  <c r="O17" i="6"/>
  <c r="F9" i="1" s="1"/>
  <c r="O10" i="6"/>
  <c r="S38" i="5"/>
  <c r="R38" i="5"/>
  <c r="G39" i="1" s="1"/>
  <c r="S31" i="5"/>
  <c r="R31" i="5"/>
  <c r="G40" i="1" s="1"/>
  <c r="G50" i="1" s="1"/>
  <c r="S17" i="5"/>
  <c r="R17" i="5"/>
  <c r="S10" i="5"/>
  <c r="G20" i="1" s="1"/>
  <c r="R10" i="5"/>
  <c r="O17" i="5"/>
  <c r="G9" i="1" s="1"/>
  <c r="O10" i="5"/>
  <c r="G10" i="1" s="1"/>
  <c r="G28" i="2" s="1"/>
  <c r="G37" i="2" s="1"/>
  <c r="R39" i="3"/>
  <c r="Q39" i="3"/>
  <c r="H39" i="1" s="1"/>
  <c r="H49" i="1" s="1"/>
  <c r="R32" i="3"/>
  <c r="Q32" i="3"/>
  <c r="H40" i="1" s="1"/>
  <c r="H50" i="1" s="1"/>
  <c r="R17" i="3"/>
  <c r="Q17" i="3"/>
  <c r="H19" i="1" s="1"/>
  <c r="H29" i="1" s="1"/>
  <c r="H9" i="2" s="1"/>
  <c r="N17" i="3"/>
  <c r="H9" i="1" s="1"/>
  <c r="R11" i="3"/>
  <c r="Q11" i="3"/>
  <c r="N11" i="3"/>
  <c r="N19" i="3" s="1"/>
  <c r="D5" i="2"/>
  <c r="E5" i="2" s="1"/>
  <c r="F5" i="2" s="1"/>
  <c r="G5" i="2" s="1"/>
  <c r="H5" i="2" s="1"/>
  <c r="D62" i="1"/>
  <c r="E62" i="1" s="1"/>
  <c r="F62" i="1" s="1"/>
  <c r="G62" i="1" s="1"/>
  <c r="H62" i="1" s="1"/>
  <c r="D45" i="1"/>
  <c r="E45" i="1" s="1"/>
  <c r="F45" i="1" s="1"/>
  <c r="G45" i="1" s="1"/>
  <c r="H45" i="1" s="1"/>
  <c r="D35" i="1"/>
  <c r="E35" i="1" s="1"/>
  <c r="F35" i="1" s="1"/>
  <c r="G35" i="1" s="1"/>
  <c r="H35" i="1" s="1"/>
  <c r="D25" i="1"/>
  <c r="E25" i="1" s="1"/>
  <c r="F25" i="1" s="1"/>
  <c r="G25" i="1" s="1"/>
  <c r="H25" i="1" s="1"/>
  <c r="D15" i="1"/>
  <c r="E15" i="1" s="1"/>
  <c r="F15" i="1" s="1"/>
  <c r="G15" i="1" s="1"/>
  <c r="H15" i="1" s="1"/>
  <c r="D5" i="1"/>
  <c r="E5" i="1" s="1"/>
  <c r="F5" i="1" s="1"/>
  <c r="G5" i="1" s="1"/>
  <c r="H5" i="1" s="1"/>
  <c r="E31" i="13" l="1"/>
  <c r="F31" i="13" s="1"/>
  <c r="G31" i="13" s="1"/>
  <c r="I31" i="13" s="1"/>
  <c r="E32" i="13"/>
  <c r="F32" i="13" s="1"/>
  <c r="G32" i="13" s="1"/>
  <c r="I32" i="13" s="1"/>
  <c r="E30" i="13"/>
  <c r="F30" i="13" s="1"/>
  <c r="G30" i="13" s="1"/>
  <c r="I30" i="13" s="1"/>
  <c r="G21" i="13"/>
  <c r="E33" i="13"/>
  <c r="F33" i="13" s="1"/>
  <c r="G33" i="13" s="1"/>
  <c r="I33" i="13" s="1"/>
  <c r="G19" i="1"/>
  <c r="G46" i="1"/>
  <c r="G47" i="1"/>
  <c r="G16" i="2" s="1"/>
  <c r="G48" i="1"/>
  <c r="G29" i="1"/>
  <c r="G9" i="2" s="1"/>
  <c r="G21" i="1"/>
  <c r="D38" i="2"/>
  <c r="D43" i="2" s="1"/>
  <c r="D44" i="2" s="1"/>
  <c r="I35" i="2"/>
  <c r="J35" i="2"/>
  <c r="H27" i="2"/>
  <c r="G27" i="2"/>
  <c r="G11" i="1"/>
  <c r="D34" i="2"/>
  <c r="H36" i="2"/>
  <c r="G34" i="2"/>
  <c r="G41" i="1"/>
  <c r="G51" i="1" s="1"/>
  <c r="G49" i="1"/>
  <c r="G30" i="1"/>
  <c r="F27" i="2"/>
  <c r="F36" i="2" s="1"/>
  <c r="F38" i="2" s="1"/>
  <c r="F43" i="2" s="1"/>
  <c r="F11" i="1"/>
  <c r="E57" i="1" s="1"/>
  <c r="E58" i="1" s="1"/>
  <c r="F49" i="1"/>
  <c r="D30" i="1"/>
  <c r="C50" i="1"/>
  <c r="O19" i="5"/>
  <c r="H34" i="2"/>
  <c r="E47" i="1"/>
  <c r="E16" i="2" s="1"/>
  <c r="E34" i="2" s="1"/>
  <c r="E38" i="2" s="1"/>
  <c r="E43" i="2" s="1"/>
  <c r="H21" i="1"/>
  <c r="J33" i="2"/>
  <c r="I33" i="2"/>
  <c r="C28" i="1"/>
  <c r="C8" i="2" s="1"/>
  <c r="C35" i="2" s="1"/>
  <c r="C38" i="2" s="1"/>
  <c r="C43" i="2" s="1"/>
  <c r="H10" i="1"/>
  <c r="H28" i="2" s="1"/>
  <c r="H37" i="2" s="1"/>
  <c r="D11" i="1"/>
  <c r="D57" i="1" s="1"/>
  <c r="D58" i="1" s="1"/>
  <c r="E11" i="1"/>
  <c r="E21" i="1"/>
  <c r="D41" i="1"/>
  <c r="F21" i="1"/>
  <c r="C11" i="1"/>
  <c r="C57" i="1" s="1"/>
  <c r="C58" i="1" s="1"/>
  <c r="E41" i="1"/>
  <c r="E51" i="1" s="1"/>
  <c r="F41" i="1"/>
  <c r="C46" i="1"/>
  <c r="H41" i="1"/>
  <c r="C41" i="1"/>
  <c r="D21" i="1"/>
  <c r="D31" i="1" s="1"/>
  <c r="C21" i="1"/>
  <c r="G26" i="13" l="1"/>
  <c r="H21" i="13"/>
  <c r="I21" i="13" s="1"/>
  <c r="F44" i="2"/>
  <c r="F45" i="2"/>
  <c r="C44" i="2"/>
  <c r="C45" i="2"/>
  <c r="E44" i="2"/>
  <c r="E45" i="2"/>
  <c r="G38" i="2"/>
  <c r="G43" i="2" s="1"/>
  <c r="H51" i="1"/>
  <c r="D51" i="1"/>
  <c r="J34" i="2"/>
  <c r="I34" i="2"/>
  <c r="D45" i="2"/>
  <c r="J37" i="2"/>
  <c r="I37" i="2"/>
  <c r="H11" i="1"/>
  <c r="G31" i="1"/>
  <c r="J36" i="2"/>
  <c r="I36" i="2"/>
  <c r="F57" i="1"/>
  <c r="F58" i="1" s="1"/>
  <c r="E31" i="1"/>
  <c r="G36" i="2"/>
  <c r="C6" i="10"/>
  <c r="C16" i="10"/>
  <c r="E16" i="10" s="1"/>
  <c r="H38" i="2"/>
  <c r="H43" i="2" s="1"/>
  <c r="C51" i="1"/>
  <c r="F31" i="1"/>
  <c r="F51" i="1"/>
  <c r="C31" i="1"/>
  <c r="H30" i="1"/>
  <c r="D34" i="13" l="1"/>
  <c r="H26" i="13"/>
  <c r="I26" i="13" s="1"/>
  <c r="C9" i="10"/>
  <c r="C19" i="10"/>
  <c r="E19" i="10" s="1"/>
  <c r="G45" i="2"/>
  <c r="G44" i="2"/>
  <c r="C15" i="10"/>
  <c r="E15" i="10" s="1"/>
  <c r="C5" i="10"/>
  <c r="H57" i="1"/>
  <c r="H58" i="1" s="1"/>
  <c r="G57" i="1"/>
  <c r="G58" i="1" s="1"/>
  <c r="C7" i="10"/>
  <c r="C17" i="10"/>
  <c r="E17" i="10" s="1"/>
  <c r="C8" i="10"/>
  <c r="C18" i="10"/>
  <c r="E18" i="10" s="1"/>
  <c r="H44" i="2"/>
  <c r="H45" i="2"/>
  <c r="H31" i="1"/>
  <c r="C20" i="10" l="1"/>
  <c r="E20" i="10" s="1"/>
  <c r="C1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Sha-Valuation</author>
  </authors>
  <commentList>
    <comment ref="C6" authorId="0" shapeId="0" xr:uid="{52EE40F6-EDEF-CC48-AC9F-9BC45F727F58}">
      <text>
        <r>
          <rPr>
            <b/>
            <sz val="10"/>
            <color rgb="FF000000"/>
            <rFont val="Tahoma"/>
            <family val="2"/>
          </rPr>
          <t>Sha-Valuation: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Proxy NPL ratios</t>
        </r>
      </text>
    </comment>
    <comment ref="C7" authorId="0" shapeId="0" xr:uid="{4C95927A-0C2B-3642-B438-7771B35814A9}">
      <text>
        <r>
          <rPr>
            <b/>
            <sz val="10"/>
            <color rgb="FF000000"/>
            <rFont val="Tahoma"/>
            <family val="2"/>
          </rPr>
          <t>Sha-Valuation: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Proxy NPL Ratios</t>
        </r>
      </text>
    </comment>
    <comment ref="D7" authorId="0" shapeId="0" xr:uid="{4808422C-50C1-3646-8D61-953D9DB14828}">
      <text>
        <r>
          <rPr>
            <b/>
            <sz val="10"/>
            <color rgb="FF000000"/>
            <rFont val="Tahoma"/>
            <family val="2"/>
          </rPr>
          <t>Sha-Valuation: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Proxy NPL Ratios</t>
        </r>
      </text>
    </comment>
    <comment ref="C8" authorId="0" shapeId="0" xr:uid="{EA2C9899-88AC-294A-84F5-7463AC28739D}">
      <text>
        <r>
          <rPr>
            <b/>
            <sz val="10"/>
            <color rgb="FF000000"/>
            <rFont val="Tahoma"/>
            <family val="2"/>
          </rPr>
          <t>Sha-Valuation: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Proxy NPL Ratios</t>
        </r>
      </text>
    </comment>
    <comment ref="C10" authorId="0" shapeId="0" xr:uid="{5CDF6A7C-6C3D-7F41-B4D9-EF7F27F4A105}">
      <text>
        <r>
          <rPr>
            <b/>
            <sz val="10"/>
            <color rgb="FF000000"/>
            <rFont val="Tahoma"/>
            <family val="2"/>
          </rPr>
          <t>Sha-Valuation: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Proxy NPL Ratios</t>
        </r>
      </text>
    </comment>
  </commentList>
</comments>
</file>

<file path=xl/sharedStrings.xml><?xml version="1.0" encoding="utf-8"?>
<sst xmlns="http://schemas.openxmlformats.org/spreadsheetml/2006/main" count="935" uniqueCount="304">
  <si>
    <t>A.  LOAN BOOK COMPOSITION  (€ Millions, Gross)</t>
  </si>
  <si>
    <t>Segment</t>
  </si>
  <si>
    <t>Source</t>
  </si>
  <si>
    <t>Residential Mortgages</t>
  </si>
  <si>
    <t>Property &amp; Construction</t>
  </si>
  <si>
    <t>TOTAL GROSS LOANS</t>
  </si>
  <si>
    <t>Other Personal</t>
  </si>
  <si>
    <t>AIB GROUP — RAW HISTORICAL DATA  (2019–2025)  |  Source: AIB Annual Reports + Pillar 3 Q4 2025</t>
  </si>
  <si>
    <t>B.  Non-Performing Loan : Stage 3+ POCI  (€ Millions)</t>
  </si>
  <si>
    <t>GROUP NPL RATIO</t>
  </si>
  <si>
    <t>C.  NPL RATIOS BY SEGMENT  (NPL / Total Loans)</t>
  </si>
  <si>
    <t>D.  Expected Credit Loss allowance By Segment  : Stage 3+ POCI  (€ Millions)</t>
  </si>
  <si>
    <t>D.  COST OF RISK  (Impairment Charge / Average Loans — basis points)</t>
  </si>
  <si>
    <t>Metric</t>
  </si>
  <si>
    <t>Impairment Charge (€m)</t>
  </si>
  <si>
    <t>2025: est from trend; impairment continuing to normalise</t>
  </si>
  <si>
    <t>Average Gross Loans (€m)</t>
  </si>
  <si>
    <t>Cost of Risk (bps)</t>
  </si>
  <si>
    <t>Stage / Metric</t>
  </si>
  <si>
    <t>Note</t>
  </si>
  <si>
    <t>Stage 1 — Performing (€m)</t>
  </si>
  <si>
    <t>12m ECL; 2025 est from gross loans - S2 - S3</t>
  </si>
  <si>
    <t>Stage 2 — Sig. Credit Risk (€m)</t>
  </si>
  <si>
    <t>⚠ Lifetime ECL — early warning; 2025 est improving trend</t>
  </si>
  <si>
    <t>Stage 3 — Credit Impaired (€m)</t>
  </si>
  <si>
    <t>2025 = 1,596 CONFIRMED Pillar 3 CR2</t>
  </si>
  <si>
    <t>Stage 1 ECL Provision (€m)</t>
  </si>
  <si>
    <t>12-month ECL provision</t>
  </si>
  <si>
    <t>Stage 2 ECL Provision (€m)</t>
  </si>
  <si>
    <t>Lifetime ECL provision</t>
  </si>
  <si>
    <t>Stage 3 ECL Provision (€m)</t>
  </si>
  <si>
    <t>2025: total impairment 1,149; Stage3 est 724</t>
  </si>
  <si>
    <t xml:space="preserve">E.  IFRS 9 STAGE BALANCES  (€m)  </t>
  </si>
  <si>
    <t>NPL ratios are used as a proxy for PD due to the absence of segment-level disclosed PD data.</t>
  </si>
  <si>
    <t>EXPECTED LOSS MODEL  (EL = PD × LGD × EAD)  |  2019–2025  |  € Millions</t>
  </si>
  <si>
    <t>E.  PROVISION COVERAGE RATIOS  (ECL Provisions / NPL Balance)</t>
  </si>
  <si>
    <t>Non-property business:</t>
  </si>
  <si>
    <t>Concentration by industry sector</t>
  </si>
  <si>
    <t>Loans (€m)</t>
  </si>
  <si>
    <t>Off-Bal (€m)</t>
  </si>
  <si>
    <t>Total Gross (€m)</t>
  </si>
  <si>
    <t>Stage 1 (€m)</t>
  </si>
  <si>
    <t>Stage 2 (€m)</t>
  </si>
  <si>
    <t>Stage 3 (€m)</t>
  </si>
  <si>
    <t>POCI (€m)</t>
  </si>
  <si>
    <t>Total Alloc (€m)</t>
  </si>
  <si>
    <t>Fin Guarantees (€m)</t>
  </si>
  <si>
    <t>Natural resources</t>
  </si>
  <si>
    <t>Of which renewables</t>
  </si>
  <si>
    <t>Leisure</t>
  </si>
  <si>
    <t>Manufacturing</t>
  </si>
  <si>
    <t>Health, education and social work</t>
  </si>
  <si>
    <t>Services</t>
  </si>
  <si>
    <t>Agriculture, forestry and fishing</t>
  </si>
  <si>
    <t>Retail and wholesale trade</t>
  </si>
  <si>
    <t>Transport and storage</t>
  </si>
  <si>
    <t>Telecommunications, media and tech</t>
  </si>
  <si>
    <t>Financial, insurance and govt</t>
  </si>
  <si>
    <t>Total non-property business</t>
  </si>
  <si>
    <t>Property and construction</t>
  </si>
  <si>
    <t>Residential mortgages</t>
  </si>
  <si>
    <t>Other personal</t>
  </si>
  <si>
    <t>Total Portfolio</t>
  </si>
  <si>
    <t>Loans ECL (€m)</t>
  </si>
  <si>
    <t>Off-Bal ECL (€m)</t>
  </si>
  <si>
    <t>Total ECL (€m)</t>
  </si>
  <si>
    <t>Stage 1 ECL (€m)</t>
  </si>
  <si>
    <t>Stage 2 ECL (€m)</t>
  </si>
  <si>
    <t>Stage 3 ECL (€m)</t>
  </si>
  <si>
    <t>POCI ECL (€m)</t>
  </si>
  <si>
    <t>Total Alloc ECL (€m)</t>
  </si>
  <si>
    <t>ECL Allowance</t>
  </si>
  <si>
    <t>Total Book (€m)</t>
  </si>
  <si>
    <t>Total Book ECL (€m)</t>
  </si>
  <si>
    <t>Agriculture</t>
  </si>
  <si>
    <t>Energy</t>
  </si>
  <si>
    <t>Distribution</t>
  </si>
  <si>
    <t>Transport</t>
  </si>
  <si>
    <t>Financial</t>
  </si>
  <si>
    <t>Other services</t>
  </si>
  <si>
    <t>Non-Property Business(SME)</t>
  </si>
  <si>
    <t>Non-Property Business(Corporate other)</t>
  </si>
  <si>
    <t>SUM=</t>
  </si>
  <si>
    <t>Total=</t>
  </si>
  <si>
    <t xml:space="preserve">PART 2 — LGD INPUTS  </t>
  </si>
  <si>
    <t xml:space="preserve">PART 1 — PD INPUTS  </t>
  </si>
  <si>
    <t>Proxy From NPL Ratios</t>
  </si>
  <si>
    <t>AIB Pillar 3 disclosures</t>
  </si>
  <si>
    <t>Proxy Coverage ratio</t>
  </si>
  <si>
    <t>PART 3 — EAD INPUTS (Exposure at Default = Gross Loan Balance, linked from Raw Data)</t>
  </si>
  <si>
    <t xml:space="preserve">EXPECTED LOSS  (EL = PD × LGD × EAD)  €m  </t>
  </si>
  <si>
    <t>Δ 2019→2025</t>
  </si>
  <si>
    <t>EL % EAD (2025)</t>
  </si>
  <si>
    <t xml:space="preserve">PART 4 — PROVISION vs MODEL EL  (Coverage Gap)  </t>
  </si>
  <si>
    <t>Actual ECL Provisions (€m)</t>
  </si>
  <si>
    <t>Model EL (€m)</t>
  </si>
  <si>
    <t>Coverage Gap: Provisions − EL (€m)</t>
  </si>
  <si>
    <t>Coverage Ratio (Provisions / Model EL)</t>
  </si>
  <si>
    <t>TOTAL EXPECTED LOSS (€m)</t>
  </si>
  <si>
    <t>AIB Pillar 3 disclosures(SME PD sourced from AIB Pillar 3 CR6 table (Corporates - SME without own estimates). Weighted average PD includes defaulted exposures and regulatory conservatism margins, resulting in higher figures than the observed NPL ratio. This is appropriate for a regulatory EL framework.)</t>
  </si>
  <si>
    <t>MACRO-LINKED PD ESTIMATION  |  OLS: NPL = α + β₁(Unemp) + β₂(GDP) + β₃(Rate) + β₄(HPI) + ε  |  2020–2025</t>
  </si>
  <si>
    <t>A.  REGRESSION INPUT DATA  (Y = Group NPL Ratio; X = Macro Variables)  |  Now includes 2025</t>
  </si>
  <si>
    <t>Year</t>
  </si>
  <si>
    <t>NPL Ratio (Y)</t>
  </si>
  <si>
    <t>Unemployment (X1)</t>
  </si>
  <si>
    <t>ECB Rate (X3)</t>
  </si>
  <si>
    <t>House Price (X4)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</si>
  <si>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</si>
  <si>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</si>
  <si>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</si>
  <si>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</si>
  <si>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</si>
  <si>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</si>
  <si>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</si>
  <si>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</si>
  <si>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</si>
  <si>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</si>
  <si>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</si>
  <si>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</si>
  <si>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</si>
  <si>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</si>
  <si>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</si>
  <si>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</si>
  <si>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</si>
  <si>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</si>
  <si>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</si>
  <si>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</si>
  <si>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</si>
  <si>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</si>
  <si>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C.  FITTED vs ACTUAL  (Model Validation)</t>
  </si>
  <si>
    <t>Actual NPL</t>
  </si>
  <si>
    <t>Fitted NPL</t>
  </si>
  <si>
    <t>Residual (pp)</t>
  </si>
  <si>
    <t>Fit Quality</t>
  </si>
  <si>
    <t>✓ Good</t>
  </si>
  <si>
    <t>D.  FORWARD NPL FORECAST  (blue cells = inputs — change to run scenarios)</t>
  </si>
  <si>
    <t>Variable</t>
  </si>
  <si>
    <t>Unemployment (%)</t>
  </si>
  <si>
    <t>GDP Growth (%)</t>
  </si>
  <si>
    <t>ECB Rate (%)</t>
  </si>
  <si>
    <t>House Price Chg (%)</t>
  </si>
  <si>
    <t>FORECAST NPL RATIO</t>
  </si>
  <si>
    <t>Geography / Macroeconomic factor (%)</t>
  </si>
  <si>
    <t>Dec 2025: Base</t>
  </si>
  <si>
    <t>Dec 2025: Downside 1</t>
  </si>
  <si>
    <t>Dec 2025: Downside 2</t>
  </si>
  <si>
    <t>Dec 2025: Upside</t>
  </si>
  <si>
    <t>Dec 2024: Base</t>
  </si>
  <si>
    <t>Dec 2024: Downside 1</t>
  </si>
  <si>
    <t>Dec 2024: Downside 2</t>
  </si>
  <si>
    <t>Dec 2024: Upside</t>
  </si>
  <si>
    <t>Republic of Ireland</t>
  </si>
  <si>
    <t>GDP growth</t>
  </si>
  <si>
    <t>Residential property price growth</t>
  </si>
  <si>
    <t>Unemployment rate</t>
  </si>
  <si>
    <t>Commercial property price growth</t>
  </si>
  <si>
    <t>Employment growth</t>
  </si>
  <si>
    <t>Average disposable income growth</t>
  </si>
  <si>
    <t>Inflation</t>
  </si>
  <si>
    <t>December 2025
5 year (2026-2030) average forecast</t>
  </si>
  <si>
    <t>December 2024
5 year (2025-2029) average forecast</t>
  </si>
  <si>
    <t>Estimate: 2025</t>
  </si>
  <si>
    <t>Base: 2026</t>
  </si>
  <si>
    <t>Base: 2027</t>
  </si>
  <si>
    <t>Base: 2028</t>
  </si>
  <si>
    <t>Base: 2029</t>
  </si>
  <si>
    <t>Base: 2030</t>
  </si>
  <si>
    <t>Downside 1: 2026</t>
  </si>
  <si>
    <t>Downside 1: 2027</t>
  </si>
  <si>
    <t>Downside 1: 2028</t>
  </si>
  <si>
    <t>Downside 1: 2029</t>
  </si>
  <si>
    <t>Downside 1: 2030</t>
  </si>
  <si>
    <t>Base</t>
  </si>
  <si>
    <t>Downside 1(Escalating geopolitical tensions)</t>
  </si>
  <si>
    <t>Downside 2: 2026</t>
  </si>
  <si>
    <t>Downside 2: 2027</t>
  </si>
  <si>
    <t>Downside 2: 2028</t>
  </si>
  <si>
    <t>Downside 2: 2029</t>
  </si>
  <si>
    <t>Downside 2: 2030</t>
  </si>
  <si>
    <t>Upside: 2026</t>
  </si>
  <si>
    <t>Upside: 2027</t>
  </si>
  <si>
    <t>Upside: 2028</t>
  </si>
  <si>
    <t>Upside: 2029</t>
  </si>
  <si>
    <t>Upside: 2030</t>
  </si>
  <si>
    <t>Downside 2 (Global trade war/Irish FDI shock)</t>
  </si>
  <si>
    <t>Upside (Easing geopolitical tensions)</t>
  </si>
  <si>
    <t>AIB Annual 2025</t>
  </si>
  <si>
    <t>Scenario Probability Weighting (%)</t>
  </si>
  <si>
    <t>Downside 1 (Geopolitical tensions / Escalating tensions)</t>
  </si>
  <si>
    <t>Downside 2 (Global trade war/Irish FDI shock vs. Credit crunch)</t>
  </si>
  <si>
    <t>Upside (Easing tensions / Quick recovery)</t>
  </si>
  <si>
    <t>Asset Class / Portfolio Segment</t>
  </si>
  <si>
    <t>Reported</t>
  </si>
  <si>
    <t>100% Downside 1 (Escalating Tensions)</t>
  </si>
  <si>
    <t>100% Downside 2 (Trade War/FDI Shock)</t>
  </si>
  <si>
    <t>100% Upside (Easing Tensions)</t>
  </si>
  <si>
    <t>Loans and advances to customers:</t>
  </si>
  <si>
    <t>Non-property business</t>
  </si>
  <si>
    <t>Total Loans and Advances</t>
  </si>
  <si>
    <t>Off-balance sheet loan commitments</t>
  </si>
  <si>
    <t>Financial guarantee contracts</t>
  </si>
  <si>
    <t>Total ECL Portfolio Allowance</t>
  </si>
  <si>
    <t>Of which: AIB UK segment</t>
  </si>
  <si>
    <t>ECL allowance at 31 December 2025</t>
  </si>
  <si>
    <t>100% Base(2026)</t>
  </si>
  <si>
    <t>Multiplier</t>
  </si>
  <si>
    <t>Reported ECL=Weighted average of all scenarios+management overlays+expert judgement</t>
  </si>
  <si>
    <t>PD Inputs of 2025</t>
  </si>
  <si>
    <t>SCENARIO WEIGHTED ECL</t>
  </si>
  <si>
    <t>Base EL Loss</t>
  </si>
  <si>
    <t>TOTAL STRESSED EL (€m)</t>
  </si>
  <si>
    <t>Stress scenarios are applied through PD migration multipliers while LGD and EAD are assumed constant. This reflects a simplified top-down IFRS9 stress testing framework</t>
  </si>
  <si>
    <t>CAPITAL IMPACT</t>
  </si>
  <si>
    <t>% Increase vs Base</t>
  </si>
  <si>
    <t>Scenario</t>
  </si>
  <si>
    <t>Weight</t>
  </si>
  <si>
    <t>Δ vs Base (€m)</t>
  </si>
  <si>
    <t>RAG</t>
  </si>
  <si>
    <t>Key Risk</t>
  </si>
  <si>
    <t>Stable economy</t>
  </si>
  <si>
    <t>Downside 1</t>
  </si>
  <si>
    <t>Geopolitical slowdown</t>
  </si>
  <si>
    <t>Downside 2</t>
  </si>
  <si>
    <t>Severe recession</t>
  </si>
  <si>
    <t>Upside</t>
  </si>
  <si>
    <t>Recovery scenario</t>
  </si>
  <si>
    <t>Weighted Avg</t>
  </si>
  <si>
    <t>Probability-weighted IFRS9 ECL</t>
  </si>
  <si>
    <t>🟢 Stable</t>
  </si>
  <si>
    <t>🟡 Monitor</t>
  </si>
  <si>
    <t>🔴 Severe Stress</t>
  </si>
  <si>
    <t>🟢 Recovery</t>
  </si>
  <si>
    <t>Post Stress CET1 Capital</t>
  </si>
  <si>
    <t>Metric Component</t>
  </si>
  <si>
    <t>2025 (€ m)</t>
  </si>
  <si>
    <t>2024 (€ m)</t>
  </si>
  <si>
    <t>Profit after tax</t>
  </si>
  <si>
    <t>AT1 coupons paid</t>
  </si>
  <si>
    <t>Attributable earnings</t>
  </si>
  <si>
    <t>Average Shareholder Equity</t>
  </si>
  <si>
    <t>Return on Shareholder Equity (RoE)</t>
  </si>
  <si>
    <t>Average RWA</t>
  </si>
  <si>
    <t>RWA * 14% CET1 target</t>
  </si>
  <si>
    <t>Return on Tangible Equity (RoTE)</t>
  </si>
  <si>
    <t>Return on Shareholder Equity (RoE) and Return on Tangible Equity</t>
  </si>
  <si>
    <t>(RoTE)</t>
  </si>
  <si>
    <t>CET1 Ratio</t>
  </si>
  <si>
    <t>RWA</t>
  </si>
  <si>
    <t>CET1</t>
  </si>
  <si>
    <t>CET1 Capital</t>
  </si>
  <si>
    <t>CET1 Post Stress</t>
  </si>
  <si>
    <t>Regulatory Capital Requirements</t>
  </si>
  <si>
    <t>31 Dec 2025 (%)</t>
  </si>
  <si>
    <t>CET1 Requirements</t>
  </si>
  <si>
    <t>Pillar 1</t>
  </si>
  <si>
    <t>Pillar 2 requirement (P2R)</t>
  </si>
  <si>
    <t>Capital Conservation Buffer (CCB)</t>
  </si>
  <si>
    <t>Other Systemically Important Institutions Buffer (O-SII)</t>
  </si>
  <si>
    <t>Countercyclical buffer (CCyB) Impact</t>
  </si>
  <si>
    <t>CET1 Requirement</t>
  </si>
  <si>
    <t>AT1</t>
  </si>
  <si>
    <t>Tier 2</t>
  </si>
  <si>
    <t>Total Capital Requirement</t>
  </si>
  <si>
    <t>ECL (€m)</t>
  </si>
  <si>
    <t>CET1 Requirement(€m)</t>
  </si>
  <si>
    <t>Headroom vs CET1 Requirement</t>
  </si>
  <si>
    <t xml:space="preserve">Key Model Assumptions               
•	LGD held constant                   
•	EAD held constant           
•	RWA assumed stable                  
•	PD stressed using macro multipliers 
•	CET1 requirement fixed at 11.29%    
•	Simplified top-down IFRS9 framework </t>
  </si>
  <si>
    <t>Stage</t>
  </si>
  <si>
    <t>Stage 1</t>
  </si>
  <si>
    <t>Stage 2</t>
  </si>
  <si>
    <t>Stage 3</t>
  </si>
  <si>
    <t>TOTAL PSI</t>
  </si>
  <si>
    <t>Status</t>
  </si>
  <si>
    <t>Modified GNI at constant Market</t>
  </si>
  <si>
    <t>year</t>
  </si>
  <si>
    <t>Modified GNI at constant Market growth</t>
  </si>
  <si>
    <t>Real GNP grew by (2.4\%) in 2025.</t>
  </si>
  <si>
    <t>RESIDUAL OUTPUT</t>
  </si>
  <si>
    <t>Observation</t>
  </si>
  <si>
    <t>Predicted NPL Ratio (Y)</t>
  </si>
  <si>
    <t>Residuals</t>
  </si>
  <si>
    <t>100% Base</t>
  </si>
  <si>
    <t xml:space="preserve">PSI ANALYSIS  |  Portfolio Stability Index  |  Baseline 2020  </t>
  </si>
  <si>
    <t xml:space="preserve">A.  STAGE DISTRIBUTION PSI vs 2020 BASELINE </t>
  </si>
  <si>
    <t>B.  Portfolio Segment Distribution &amp; PSI Stability (2020–2025)</t>
  </si>
  <si>
    <t>Formula / basis</t>
  </si>
  <si>
    <t>Meaning</t>
  </si>
  <si>
    <t>Illustrative value (€m)</t>
  </si>
  <si>
    <t>Base model EL</t>
  </si>
  <si>
    <t>PD × LGD × EAD</t>
  </si>
  <si>
    <t>Scenario weighting</t>
  </si>
  <si>
    <t>Weighted average of base/downside/upside scenarios</t>
  </si>
  <si>
    <t>IFRS 9 forward-looking adjustment</t>
  </si>
  <si>
    <t>Management overlay / PMAs</t>
  </si>
  <si>
    <t>Post model adjustments</t>
  </si>
  <si>
    <t>Known model limitations, novel risks, prudence</t>
  </si>
  <si>
    <t>Stage effects</t>
  </si>
  <si>
    <t>Stage 1 / Stage 2 / Stage 3 / POCI treatment</t>
  </si>
  <si>
    <t>12m vs lifetime ECL differences</t>
  </si>
  <si>
    <t>—</t>
  </si>
  <si>
    <t>Final reconciled ECL</t>
  </si>
  <si>
    <t>Reported ECL allowance</t>
  </si>
  <si>
    <t>Comparable to AIB reported total ECL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</si>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</sst>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"/>
    <numFmt numFmtId="166" formatCode="0.00\x"/>
    <numFmt numFmtId="167" formatCode="0.0"/>
    <numFmt numFmtId="168" formatCode="0.000"/>
  </numFmts>
  <fonts count="23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i/>
      <sz val="8"/>
      <color rgb="FF555555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C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1"/>
      <color theme="1"/>
      <name val="Calibri"/>
      <family val="2"/>
    </font>
    <font>
      <sz val="9"/>
      <color rgb="FF0000FF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8"/>
      <color rgb="FF821C82"/>
      <name val="Helvetica"/>
      <family val="2"/>
    </font>
    <font>
      <sz val="9"/>
      <color theme="1"/>
      <name val="Arial"/>
      <family val="2"/>
    </font>
    <font>
      <sz val="9"/>
      <color rgb="FF27251E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3366"/>
        <bgColor rgb="FF1F4E79"/>
      </patternFill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0F4F8"/>
      </patternFill>
    </fill>
    <fill>
      <patternFill patternType="solid">
        <fgColor rgb="FFBDD7EE"/>
        <bgColor rgb="FF99CCFF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99CCFF"/>
      </patternFill>
    </fill>
    <fill>
      <patternFill patternType="solid">
        <fgColor rgb="FFF4B942"/>
        <bgColor rgb="FFFF9900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EEAF1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9.9978637043366805E-2"/>
        <bgColor rgb="FFF0F4F8"/>
      </patternFill>
    </fill>
    <fill>
      <patternFill patternType="solid">
        <fgColor theme="5" tint="0.79998168889431442"/>
        <bgColor rgb="FFE2EFDA"/>
      </patternFill>
    </fill>
    <fill>
      <patternFill patternType="solid">
        <fgColor theme="0"/>
        <bgColor rgb="FFF0F4F8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9.9978637043366805E-2"/>
        <bgColor rgb="FF1F4E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rgb="FFE2EFDA"/>
      </patternFill>
    </fill>
    <fill>
      <patternFill patternType="solid">
        <fgColor theme="3" tint="0.89999084444715716"/>
        <bgColor rgb="FFF0F4F8"/>
      </patternFill>
    </fill>
    <fill>
      <patternFill patternType="solid">
        <fgColor theme="3" tint="0.749992370372631"/>
        <bgColor rgb="FF99CCFF"/>
      </patternFill>
    </fill>
    <fill>
      <patternFill patternType="solid">
        <fgColor theme="3" tint="0.749992370372631"/>
        <bgColor rgb="FFF0F4F8"/>
      </patternFill>
    </fill>
  </fills>
  <borders count="50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66666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>
      <left style="thin">
        <color rgb="FFAAAAAA"/>
      </left>
      <right/>
      <top style="thin">
        <color rgb="FFAAAAAA"/>
      </top>
      <bottom style="medium">
        <color rgb="FF66666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thin">
        <color rgb="FFAAAAAA"/>
      </left>
      <right/>
      <top style="thin">
        <color indexed="64"/>
      </top>
      <bottom style="double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indexed="64"/>
      </top>
      <bottom style="double">
        <color indexed="64"/>
      </bottom>
      <diagonal/>
    </border>
    <border>
      <left/>
      <right style="thin">
        <color rgb="FFAAAAAA"/>
      </right>
      <top style="thin">
        <color rgb="FFAAAAAA"/>
      </top>
      <bottom style="medium">
        <color rgb="FF666666"/>
      </bottom>
      <diagonal/>
    </border>
    <border>
      <left/>
      <right/>
      <top style="thin">
        <color rgb="FFAAAAAA"/>
      </top>
      <bottom style="medium">
        <color rgb="FF666666"/>
      </bottom>
      <diagonal/>
    </border>
    <border>
      <left style="thin">
        <color rgb="FFAAAAAA"/>
      </left>
      <right/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AAAAAA"/>
      </left>
      <right style="thin">
        <color rgb="FFAAAAAA"/>
      </right>
      <top/>
      <bottom style="medium">
        <color rgb="FF666666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6">
    <xf numFmtId="0" fontId="0" fillId="0" borderId="0" xfId="0"/>
    <xf numFmtId="0" fontId="0" fillId="2" borderId="0" xfId="0" applyFill="1"/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3" fontId="3" fillId="5" borderId="3" xfId="0" applyNumberFormat="1" applyFont="1" applyFill="1" applyBorder="1" applyAlignment="1">
      <alignment horizontal="right" vertical="center"/>
    </xf>
    <xf numFmtId="3" fontId="3" fillId="6" borderId="3" xfId="0" applyNumberFormat="1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left" vertical="center"/>
    </xf>
    <xf numFmtId="3" fontId="3" fillId="7" borderId="6" xfId="0" applyNumberFormat="1" applyFont="1" applyFill="1" applyBorder="1" applyAlignment="1">
      <alignment horizontal="right" vertical="center"/>
    </xf>
    <xf numFmtId="0" fontId="5" fillId="8" borderId="0" xfId="0" applyFont="1" applyFill="1" applyAlignment="1">
      <alignment horizontal="left" vertical="center" wrapText="1"/>
    </xf>
    <xf numFmtId="0" fontId="2" fillId="3" borderId="4" xfId="0" applyFont="1" applyFill="1" applyBorder="1" applyAlignment="1">
      <alignment vertical="center"/>
    </xf>
    <xf numFmtId="10" fontId="3" fillId="5" borderId="3" xfId="1" applyNumberFormat="1" applyFont="1" applyFill="1" applyBorder="1" applyAlignment="1">
      <alignment horizontal="right" vertical="center"/>
    </xf>
    <xf numFmtId="0" fontId="3" fillId="6" borderId="9" xfId="0" applyFont="1" applyFill="1" applyBorder="1" applyAlignment="1">
      <alignment horizontal="left" vertical="center"/>
    </xf>
    <xf numFmtId="10" fontId="3" fillId="5" borderId="9" xfId="1" applyNumberFormat="1" applyFont="1" applyFill="1" applyBorder="1" applyAlignment="1">
      <alignment horizontal="right" vertical="center"/>
    </xf>
    <xf numFmtId="3" fontId="3" fillId="7" borderId="10" xfId="0" applyNumberFormat="1" applyFont="1" applyFill="1" applyBorder="1" applyAlignment="1">
      <alignment horizontal="right" vertical="center"/>
    </xf>
    <xf numFmtId="0" fontId="4" fillId="7" borderId="11" xfId="0" applyFont="1" applyFill="1" applyBorder="1" applyAlignment="1">
      <alignment horizontal="left" vertical="center"/>
    </xf>
    <xf numFmtId="3" fontId="4" fillId="7" borderId="8" xfId="0" applyNumberFormat="1" applyFont="1" applyFill="1" applyBorder="1" applyAlignment="1">
      <alignment horizontal="right" vertical="center"/>
    </xf>
    <xf numFmtId="3" fontId="3" fillId="6" borderId="9" xfId="0" applyNumberFormat="1" applyFont="1" applyFill="1" applyBorder="1" applyAlignment="1">
      <alignment horizontal="right" vertical="center"/>
    </xf>
    <xf numFmtId="3" fontId="4" fillId="7" borderId="11" xfId="0" applyNumberFormat="1" applyFont="1" applyFill="1" applyBorder="1" applyAlignment="1">
      <alignment horizontal="right" vertical="center"/>
    </xf>
    <xf numFmtId="0" fontId="7" fillId="7" borderId="3" xfId="0" applyFont="1" applyFill="1" applyBorder="1" applyAlignment="1">
      <alignment horizontal="left" vertical="center"/>
    </xf>
    <xf numFmtId="1" fontId="7" fillId="7" borderId="3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left" vertical="center"/>
    </xf>
    <xf numFmtId="0" fontId="5" fillId="7" borderId="6" xfId="0" applyFont="1" applyFill="1" applyBorder="1" applyAlignment="1">
      <alignment horizontal="left" vertical="center"/>
    </xf>
    <xf numFmtId="0" fontId="2" fillId="9" borderId="0" xfId="0" applyFont="1" applyFill="1" applyAlignment="1">
      <alignment vertical="center"/>
    </xf>
    <xf numFmtId="0" fontId="2" fillId="10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7" fillId="12" borderId="3" xfId="0" applyFont="1" applyFill="1" applyBorder="1" applyAlignment="1">
      <alignment horizontal="left" vertical="center"/>
    </xf>
    <xf numFmtId="3" fontId="3" fillId="12" borderId="3" xfId="0" applyNumberFormat="1" applyFont="1" applyFill="1" applyBorder="1" applyAlignment="1">
      <alignment horizontal="right" vertical="center"/>
    </xf>
    <xf numFmtId="3" fontId="8" fillId="12" borderId="3" xfId="0" applyNumberFormat="1" applyFont="1" applyFill="1" applyBorder="1" applyAlignment="1">
      <alignment horizontal="right" vertical="center"/>
    </xf>
    <xf numFmtId="0" fontId="7" fillId="13" borderId="3" xfId="0" applyFont="1" applyFill="1" applyBorder="1" applyAlignment="1">
      <alignment horizontal="left" vertical="center"/>
    </xf>
    <xf numFmtId="3" fontId="3" fillId="13" borderId="3" xfId="0" applyNumberFormat="1" applyFont="1" applyFill="1" applyBorder="1" applyAlignment="1">
      <alignment horizontal="right" vertical="center"/>
    </xf>
    <xf numFmtId="0" fontId="3" fillId="14" borderId="3" xfId="0" applyFont="1" applyFill="1" applyBorder="1" applyAlignment="1">
      <alignment horizontal="left" vertical="center"/>
    </xf>
    <xf numFmtId="3" fontId="3" fillId="14" borderId="3" xfId="0" applyNumberFormat="1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left" vertical="center" wrapText="1"/>
    </xf>
    <xf numFmtId="0" fontId="5" fillId="12" borderId="6" xfId="0" applyFont="1" applyFill="1" applyBorder="1" applyAlignment="1">
      <alignment horizontal="left" vertical="center" wrapText="1"/>
    </xf>
    <xf numFmtId="0" fontId="5" fillId="13" borderId="6" xfId="0" applyFont="1" applyFill="1" applyBorder="1" applyAlignment="1">
      <alignment horizontal="left" vertical="center" wrapText="1"/>
    </xf>
    <xf numFmtId="0" fontId="5" fillId="14" borderId="6" xfId="0" applyFont="1" applyFill="1" applyBorder="1" applyAlignment="1">
      <alignment horizontal="left" vertical="center" wrapText="1"/>
    </xf>
    <xf numFmtId="0" fontId="5" fillId="15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horizontal="left" vertical="center" wrapText="1"/>
    </xf>
    <xf numFmtId="0" fontId="5" fillId="17" borderId="0" xfId="0" applyFont="1" applyFill="1" applyAlignment="1">
      <alignment horizontal="left" vertical="center" wrapText="1"/>
    </xf>
    <xf numFmtId="0" fontId="9" fillId="0" borderId="0" xfId="0" applyFont="1"/>
    <xf numFmtId="0" fontId="3" fillId="6" borderId="15" xfId="0" applyFont="1" applyFill="1" applyBorder="1" applyAlignment="1">
      <alignment horizontal="left" vertical="center"/>
    </xf>
    <xf numFmtId="3" fontId="3" fillId="7" borderId="14" xfId="0" applyNumberFormat="1" applyFont="1" applyFill="1" applyBorder="1" applyAlignment="1">
      <alignment horizontal="right" vertical="center"/>
    </xf>
    <xf numFmtId="0" fontId="10" fillId="0" borderId="0" xfId="0" applyFont="1"/>
    <xf numFmtId="0" fontId="11" fillId="18" borderId="0" xfId="0" applyFont="1" applyFill="1"/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0" fillId="0" borderId="18" xfId="0" applyBorder="1"/>
    <xf numFmtId="0" fontId="11" fillId="18" borderId="18" xfId="0" applyFont="1" applyFill="1" applyBorder="1"/>
    <xf numFmtId="0" fontId="10" fillId="19" borderId="0" xfId="0" applyFont="1" applyFill="1"/>
    <xf numFmtId="0" fontId="10" fillId="19" borderId="17" xfId="0" applyFont="1" applyFill="1" applyBorder="1"/>
    <xf numFmtId="3" fontId="10" fillId="19" borderId="16" xfId="0" applyNumberFormat="1" applyFont="1" applyFill="1" applyBorder="1"/>
    <xf numFmtId="0" fontId="10" fillId="19" borderId="16" xfId="0" applyFont="1" applyFill="1" applyBorder="1"/>
    <xf numFmtId="0" fontId="0" fillId="19" borderId="0" xfId="0" applyFill="1"/>
    <xf numFmtId="0" fontId="11" fillId="20" borderId="0" xfId="0" applyFont="1" applyFill="1"/>
    <xf numFmtId="0" fontId="10" fillId="21" borderId="18" xfId="0" applyFont="1" applyFill="1" applyBorder="1"/>
    <xf numFmtId="0" fontId="10" fillId="21" borderId="19" xfId="0" applyFont="1" applyFill="1" applyBorder="1"/>
    <xf numFmtId="0" fontId="10" fillId="21" borderId="20" xfId="0" applyFont="1" applyFill="1" applyBorder="1"/>
    <xf numFmtId="0" fontId="10" fillId="21" borderId="0" xfId="0" applyFont="1" applyFill="1"/>
    <xf numFmtId="0" fontId="10" fillId="21" borderId="16" xfId="0" applyFont="1" applyFill="1" applyBorder="1"/>
    <xf numFmtId="0" fontId="10" fillId="21" borderId="17" xfId="0" applyFont="1" applyFill="1" applyBorder="1"/>
    <xf numFmtId="3" fontId="3" fillId="5" borderId="9" xfId="0" applyNumberFormat="1" applyFont="1" applyFill="1" applyBorder="1" applyAlignment="1">
      <alignment horizontal="right" vertical="center"/>
    </xf>
    <xf numFmtId="0" fontId="3" fillId="6" borderId="17" xfId="0" applyFont="1" applyFill="1" applyBorder="1" applyAlignment="1">
      <alignment horizontal="left" vertical="center"/>
    </xf>
    <xf numFmtId="0" fontId="12" fillId="22" borderId="21" xfId="0" applyFont="1" applyFill="1" applyBorder="1" applyAlignment="1">
      <alignment horizontal="left" vertical="center"/>
    </xf>
    <xf numFmtId="0" fontId="0" fillId="0" borderId="21" xfId="0" applyBorder="1"/>
    <xf numFmtId="0" fontId="11" fillId="0" borderId="0" xfId="0" applyFont="1"/>
    <xf numFmtId="10" fontId="3" fillId="5" borderId="22" xfId="1" applyNumberFormat="1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10" fontId="3" fillId="23" borderId="3" xfId="1" applyNumberFormat="1" applyFont="1" applyFill="1" applyBorder="1" applyAlignment="1">
      <alignment horizontal="right" vertical="center"/>
    </xf>
    <xf numFmtId="4" fontId="3" fillId="5" borderId="3" xfId="0" applyNumberFormat="1" applyFont="1" applyFill="1" applyBorder="1" applyAlignment="1">
      <alignment horizontal="right" vertical="center"/>
    </xf>
    <xf numFmtId="4" fontId="3" fillId="5" borderId="6" xfId="0" applyNumberFormat="1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center" vertical="center"/>
    </xf>
    <xf numFmtId="3" fontId="3" fillId="7" borderId="23" xfId="0" applyNumberFormat="1" applyFont="1" applyFill="1" applyBorder="1" applyAlignment="1">
      <alignment horizontal="right" vertical="center"/>
    </xf>
    <xf numFmtId="0" fontId="0" fillId="2" borderId="23" xfId="0" applyFill="1" applyBorder="1"/>
    <xf numFmtId="10" fontId="0" fillId="2" borderId="23" xfId="0" applyNumberFormat="1" applyFill="1" applyBorder="1"/>
    <xf numFmtId="0" fontId="3" fillId="5" borderId="6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/>
    </xf>
    <xf numFmtId="165" fontId="4" fillId="7" borderId="2" xfId="0" applyNumberFormat="1" applyFont="1" applyFill="1" applyBorder="1" applyAlignment="1">
      <alignment horizontal="right" vertical="center"/>
    </xf>
    <xf numFmtId="165" fontId="0" fillId="2" borderId="23" xfId="0" applyNumberFormat="1" applyFill="1" applyBorder="1"/>
    <xf numFmtId="0" fontId="2" fillId="3" borderId="2" xfId="0" applyFont="1" applyFill="1" applyBorder="1" applyAlignment="1">
      <alignment horizontal="center" vertical="center" wrapText="1"/>
    </xf>
    <xf numFmtId="1" fontId="3" fillId="5" borderId="3" xfId="0" applyNumberFormat="1" applyFont="1" applyFill="1" applyBorder="1" applyAlignment="1">
      <alignment horizontal="right" vertical="center"/>
    </xf>
    <xf numFmtId="1" fontId="3" fillId="6" borderId="3" xfId="0" applyNumberFormat="1" applyFont="1" applyFill="1" applyBorder="1" applyAlignment="1">
      <alignment horizontal="right" vertical="center"/>
    </xf>
    <xf numFmtId="164" fontId="3" fillId="6" borderId="3" xfId="0" applyNumberFormat="1" applyFont="1" applyFill="1" applyBorder="1" applyAlignment="1">
      <alignment horizontal="right" vertical="center"/>
    </xf>
    <xf numFmtId="1" fontId="3" fillId="7" borderId="3" xfId="0" applyNumberFormat="1" applyFont="1" applyFill="1" applyBorder="1" applyAlignment="1">
      <alignment horizontal="right" vertical="center"/>
    </xf>
    <xf numFmtId="0" fontId="0" fillId="0" borderId="24" xfId="0" applyBorder="1"/>
    <xf numFmtId="0" fontId="15" fillId="0" borderId="25" xfId="0" applyFont="1" applyBorder="1" applyAlignment="1">
      <alignment horizontal="center"/>
    </xf>
    <xf numFmtId="0" fontId="15" fillId="0" borderId="25" xfId="0" applyFont="1" applyBorder="1" applyAlignment="1">
      <alignment horizontal="centerContinuous"/>
    </xf>
    <xf numFmtId="10" fontId="3" fillId="14" borderId="3" xfId="0" applyNumberFormat="1" applyFont="1" applyFill="1" applyBorder="1" applyAlignment="1">
      <alignment horizontal="right" vertical="center"/>
    </xf>
    <xf numFmtId="0" fontId="3" fillId="14" borderId="3" xfId="0" applyFont="1" applyFill="1" applyBorder="1" applyAlignment="1">
      <alignment horizontal="right" vertical="center"/>
    </xf>
    <xf numFmtId="1" fontId="3" fillId="8" borderId="0" xfId="0" applyNumberFormat="1" applyFont="1" applyFill="1" applyAlignment="1">
      <alignment horizontal="right" vertical="center"/>
    </xf>
    <xf numFmtId="164" fontId="3" fillId="8" borderId="0" xfId="0" applyNumberFormat="1" applyFont="1" applyFill="1" applyAlignment="1">
      <alignment horizontal="right" vertical="center"/>
    </xf>
    <xf numFmtId="10" fontId="3" fillId="17" borderId="0" xfId="0" applyNumberFormat="1" applyFont="1" applyFill="1" applyAlignment="1">
      <alignment horizontal="right" vertical="center"/>
    </xf>
    <xf numFmtId="0" fontId="3" fillId="17" borderId="0" xfId="0" applyFont="1" applyFill="1" applyAlignment="1">
      <alignment horizontal="right" vertical="center"/>
    </xf>
    <xf numFmtId="1" fontId="3" fillId="24" borderId="0" xfId="0" applyNumberFormat="1" applyFont="1" applyFill="1" applyAlignment="1">
      <alignment horizontal="right" vertical="center"/>
    </xf>
    <xf numFmtId="164" fontId="3" fillId="24" borderId="0" xfId="0" applyNumberFormat="1" applyFont="1" applyFill="1" applyAlignment="1">
      <alignment horizontal="right" vertical="center"/>
    </xf>
    <xf numFmtId="1" fontId="3" fillId="11" borderId="0" xfId="0" applyNumberFormat="1" applyFont="1" applyFill="1" applyAlignment="1">
      <alignment horizontal="right" vertical="center"/>
    </xf>
    <xf numFmtId="164" fontId="3" fillId="11" borderId="0" xfId="0" applyNumberFormat="1" applyFont="1" applyFill="1" applyAlignment="1">
      <alignment horizontal="right" vertical="center"/>
    </xf>
    <xf numFmtId="0" fontId="7" fillId="7" borderId="9" xfId="0" applyFont="1" applyFill="1" applyBorder="1" applyAlignment="1">
      <alignment horizontal="left" vertical="center"/>
    </xf>
    <xf numFmtId="0" fontId="10" fillId="0" borderId="23" xfId="0" applyFont="1" applyBorder="1"/>
    <xf numFmtId="0" fontId="11" fillId="25" borderId="23" xfId="0" applyFont="1" applyFill="1" applyBorder="1" applyAlignment="1">
      <alignment wrapText="1"/>
    </xf>
    <xf numFmtId="0" fontId="11" fillId="26" borderId="23" xfId="0" applyFont="1" applyFill="1" applyBorder="1" applyAlignment="1">
      <alignment wrapText="1"/>
    </xf>
    <xf numFmtId="0" fontId="10" fillId="2" borderId="0" xfId="0" applyFont="1" applyFill="1"/>
    <xf numFmtId="0" fontId="11" fillId="25" borderId="23" xfId="0" applyFont="1" applyFill="1" applyBorder="1"/>
    <xf numFmtId="0" fontId="19" fillId="27" borderId="0" xfId="0" applyFont="1" applyFill="1"/>
    <xf numFmtId="9" fontId="10" fillId="0" borderId="23" xfId="0" applyNumberFormat="1" applyFont="1" applyBorder="1"/>
    <xf numFmtId="17" fontId="11" fillId="25" borderId="23" xfId="0" applyNumberFormat="1" applyFont="1" applyFill="1" applyBorder="1"/>
    <xf numFmtId="0" fontId="11" fillId="25" borderId="0" xfId="0" applyFont="1" applyFill="1" applyAlignment="1">
      <alignment wrapText="1"/>
    </xf>
    <xf numFmtId="0" fontId="10" fillId="0" borderId="33" xfId="0" applyFont="1" applyBorder="1"/>
    <xf numFmtId="0" fontId="10" fillId="0" borderId="32" xfId="0" applyFont="1" applyBorder="1"/>
    <xf numFmtId="0" fontId="10" fillId="0" borderId="34" xfId="0" applyFont="1" applyBorder="1"/>
    <xf numFmtId="2" fontId="0" fillId="2" borderId="0" xfId="0" applyNumberFormat="1" applyFill="1"/>
    <xf numFmtId="0" fontId="2" fillId="28" borderId="5" xfId="0" applyFont="1" applyFill="1" applyBorder="1" applyAlignment="1">
      <alignment horizontal="left" vertical="center"/>
    </xf>
    <xf numFmtId="0" fontId="11" fillId="18" borderId="23" xfId="0" applyFont="1" applyFill="1" applyBorder="1" applyAlignment="1">
      <alignment wrapText="1"/>
    </xf>
    <xf numFmtId="0" fontId="11" fillId="18" borderId="23" xfId="0" applyFont="1" applyFill="1" applyBorder="1" applyAlignment="1">
      <alignment vertical="top" wrapText="1"/>
    </xf>
    <xf numFmtId="0" fontId="18" fillId="2" borderId="0" xfId="0" applyFont="1" applyFill="1"/>
    <xf numFmtId="0" fontId="3" fillId="6" borderId="10" xfId="0" applyFont="1" applyFill="1" applyBorder="1" applyAlignment="1">
      <alignment horizontal="left" vertical="center"/>
    </xf>
    <xf numFmtId="0" fontId="3" fillId="6" borderId="14" xfId="0" applyFont="1" applyFill="1" applyBorder="1" applyAlignment="1">
      <alignment horizontal="left" vertical="center"/>
    </xf>
    <xf numFmtId="10" fontId="0" fillId="2" borderId="0" xfId="0" applyNumberFormat="1" applyFill="1"/>
    <xf numFmtId="0" fontId="2" fillId="28" borderId="10" xfId="0" applyFont="1" applyFill="1" applyBorder="1" applyAlignment="1">
      <alignment horizontal="left" vertical="center"/>
    </xf>
    <xf numFmtId="0" fontId="11" fillId="18" borderId="28" xfId="0" applyFont="1" applyFill="1" applyBorder="1" applyAlignment="1">
      <alignment vertical="top" wrapText="1"/>
    </xf>
    <xf numFmtId="0" fontId="3" fillId="5" borderId="23" xfId="0" applyFont="1" applyFill="1" applyBorder="1" applyAlignment="1">
      <alignment horizontal="left" vertical="center"/>
    </xf>
    <xf numFmtId="0" fontId="3" fillId="6" borderId="23" xfId="0" applyFont="1" applyFill="1" applyBorder="1" applyAlignment="1">
      <alignment horizontal="left" vertical="center"/>
    </xf>
    <xf numFmtId="2" fontId="0" fillId="2" borderId="23" xfId="0" applyNumberFormat="1" applyFill="1" applyBorder="1"/>
    <xf numFmtId="0" fontId="19" fillId="18" borderId="0" xfId="0" applyFont="1" applyFill="1" applyAlignment="1">
      <alignment vertical="top" wrapText="1"/>
    </xf>
    <xf numFmtId="0" fontId="7" fillId="7" borderId="36" xfId="0" applyFont="1" applyFill="1" applyBorder="1" applyAlignment="1">
      <alignment horizontal="left" vertical="center"/>
    </xf>
    <xf numFmtId="2" fontId="0" fillId="2" borderId="33" xfId="0" applyNumberFormat="1" applyFill="1" applyBorder="1"/>
    <xf numFmtId="0" fontId="3" fillId="6" borderId="32" xfId="0" applyFont="1" applyFill="1" applyBorder="1" applyAlignment="1">
      <alignment horizontal="left" vertical="center"/>
    </xf>
    <xf numFmtId="2" fontId="0" fillId="2" borderId="32" xfId="0" applyNumberFormat="1" applyFill="1" applyBorder="1"/>
    <xf numFmtId="0" fontId="19" fillId="18" borderId="0" xfId="0" applyFont="1" applyFill="1" applyAlignment="1">
      <alignment vertical="top"/>
    </xf>
    <xf numFmtId="2" fontId="0" fillId="2" borderId="28" xfId="0" applyNumberFormat="1" applyFill="1" applyBorder="1"/>
    <xf numFmtId="2" fontId="0" fillId="2" borderId="37" xfId="0" applyNumberFormat="1" applyFill="1" applyBorder="1"/>
    <xf numFmtId="0" fontId="19" fillId="18" borderId="26" xfId="0" applyFont="1" applyFill="1" applyBorder="1" applyAlignment="1">
      <alignment vertical="top"/>
    </xf>
    <xf numFmtId="10" fontId="0" fillId="2" borderId="33" xfId="0" applyNumberFormat="1" applyFill="1" applyBorder="1"/>
    <xf numFmtId="10" fontId="0" fillId="2" borderId="32" xfId="0" applyNumberFormat="1" applyFill="1" applyBorder="1"/>
    <xf numFmtId="0" fontId="17" fillId="18" borderId="23" xfId="0" applyFont="1" applyFill="1" applyBorder="1"/>
    <xf numFmtId="0" fontId="17" fillId="18" borderId="28" xfId="0" applyFont="1" applyFill="1" applyBorder="1"/>
    <xf numFmtId="0" fontId="0" fillId="0" borderId="23" xfId="0" applyBorder="1"/>
    <xf numFmtId="9" fontId="0" fillId="0" borderId="23" xfId="0" applyNumberFormat="1" applyBorder="1"/>
    <xf numFmtId="10" fontId="10" fillId="0" borderId="23" xfId="0" applyNumberFormat="1" applyFont="1" applyBorder="1"/>
    <xf numFmtId="2" fontId="0" fillId="0" borderId="23" xfId="0" applyNumberFormat="1" applyBorder="1"/>
    <xf numFmtId="0" fontId="17" fillId="2" borderId="0" xfId="0" applyFont="1" applyFill="1"/>
    <xf numFmtId="0" fontId="0" fillId="0" borderId="39" xfId="0" applyBorder="1"/>
    <xf numFmtId="0" fontId="17" fillId="18" borderId="39" xfId="0" applyFont="1" applyFill="1" applyBorder="1"/>
    <xf numFmtId="0" fontId="0" fillId="0" borderId="33" xfId="0" applyBorder="1"/>
    <xf numFmtId="9" fontId="0" fillId="0" borderId="33" xfId="0" applyNumberFormat="1" applyBorder="1"/>
    <xf numFmtId="2" fontId="0" fillId="0" borderId="33" xfId="0" applyNumberFormat="1" applyBorder="1"/>
    <xf numFmtId="0" fontId="0" fillId="0" borderId="32" xfId="0" applyBorder="1"/>
    <xf numFmtId="9" fontId="0" fillId="0" borderId="32" xfId="0" applyNumberFormat="1" applyBorder="1"/>
    <xf numFmtId="2" fontId="0" fillId="0" borderId="32" xfId="0" applyNumberFormat="1" applyBorder="1"/>
    <xf numFmtId="0" fontId="17" fillId="18" borderId="0" xfId="0" applyFont="1" applyFill="1" applyAlignment="1">
      <alignment vertical="top"/>
    </xf>
    <xf numFmtId="0" fontId="17" fillId="18" borderId="39" xfId="0" applyFont="1" applyFill="1" applyBorder="1" applyAlignment="1">
      <alignment wrapText="1"/>
    </xf>
    <xf numFmtId="0" fontId="20" fillId="0" borderId="0" xfId="0" applyFont="1"/>
    <xf numFmtId="2" fontId="0" fillId="0" borderId="39" xfId="0" applyNumberFormat="1" applyBorder="1"/>
    <xf numFmtId="2" fontId="0" fillId="0" borderId="31" xfId="0" applyNumberFormat="1" applyBorder="1"/>
    <xf numFmtId="2" fontId="0" fillId="0" borderId="40" xfId="0" applyNumberFormat="1" applyBorder="1"/>
    <xf numFmtId="2" fontId="0" fillId="0" borderId="41" xfId="0" applyNumberFormat="1" applyBorder="1"/>
    <xf numFmtId="0" fontId="0" fillId="0" borderId="41" xfId="0" applyBorder="1"/>
    <xf numFmtId="0" fontId="0" fillId="2" borderId="33" xfId="0" applyFill="1" applyBorder="1"/>
    <xf numFmtId="0" fontId="19" fillId="18" borderId="23" xfId="0" applyFont="1" applyFill="1" applyBorder="1" applyAlignment="1">
      <alignment vertical="top"/>
    </xf>
    <xf numFmtId="0" fontId="19" fillId="2" borderId="0" xfId="0" applyFont="1" applyFill="1" applyAlignment="1">
      <alignment vertical="top"/>
    </xf>
    <xf numFmtId="0" fontId="17" fillId="18" borderId="28" xfId="0" applyFont="1" applyFill="1" applyBorder="1" applyAlignment="1">
      <alignment vertical="top"/>
    </xf>
    <xf numFmtId="0" fontId="19" fillId="18" borderId="33" xfId="0" applyFont="1" applyFill="1" applyBorder="1" applyAlignment="1">
      <alignment vertical="top"/>
    </xf>
    <xf numFmtId="0" fontId="18" fillId="2" borderId="0" xfId="0" applyFont="1" applyFill="1" applyAlignment="1">
      <alignment vertical="top"/>
    </xf>
    <xf numFmtId="0" fontId="7" fillId="12" borderId="6" xfId="0" applyFont="1" applyFill="1" applyBorder="1" applyAlignment="1">
      <alignment horizontal="left" vertical="center"/>
    </xf>
    <xf numFmtId="0" fontId="7" fillId="13" borderId="6" xfId="0" applyFont="1" applyFill="1" applyBorder="1" applyAlignment="1">
      <alignment horizontal="left" vertical="center"/>
    </xf>
    <xf numFmtId="0" fontId="2" fillId="3" borderId="43" xfId="0" applyFont="1" applyFill="1" applyBorder="1" applyAlignment="1">
      <alignment horizontal="left" vertical="center"/>
    </xf>
    <xf numFmtId="0" fontId="2" fillId="3" borderId="44" xfId="0" applyFont="1" applyFill="1" applyBorder="1" applyAlignment="1">
      <alignment horizontal="center" vertical="center"/>
    </xf>
    <xf numFmtId="9" fontId="0" fillId="2" borderId="0" xfId="0" applyNumberFormat="1" applyFill="1"/>
    <xf numFmtId="10" fontId="3" fillId="5" borderId="23" xfId="0" applyNumberFormat="1" applyFont="1" applyFill="1" applyBorder="1" applyAlignment="1">
      <alignment horizontal="right" vertical="center"/>
    </xf>
    <xf numFmtId="0" fontId="0" fillId="2" borderId="23" xfId="0" applyFill="1" applyBorder="1" applyAlignment="1">
      <alignment horizontal="right"/>
    </xf>
    <xf numFmtId="0" fontId="7" fillId="7" borderId="10" xfId="0" applyFont="1" applyFill="1" applyBorder="1" applyAlignment="1">
      <alignment horizontal="left" vertical="center"/>
    </xf>
    <xf numFmtId="0" fontId="3" fillId="14" borderId="23" xfId="0" applyFont="1" applyFill="1" applyBorder="1" applyAlignment="1">
      <alignment horizontal="right" vertical="center"/>
    </xf>
    <xf numFmtId="0" fontId="0" fillId="29" borderId="23" xfId="0" applyFill="1" applyBorder="1" applyAlignment="1">
      <alignment horizontal="right"/>
    </xf>
    <xf numFmtId="10" fontId="3" fillId="6" borderId="3" xfId="0" applyNumberFormat="1" applyFont="1" applyFill="1" applyBorder="1" applyAlignment="1">
      <alignment horizontal="right" vertical="center"/>
    </xf>
    <xf numFmtId="0" fontId="19" fillId="18" borderId="0" xfId="0" applyFont="1" applyFill="1" applyAlignment="1">
      <alignment horizontal="left" vertical="top"/>
    </xf>
    <xf numFmtId="167" fontId="3" fillId="6" borderId="45" xfId="0" applyNumberFormat="1" applyFont="1" applyFill="1" applyBorder="1" applyAlignment="1">
      <alignment horizontal="right" vertical="center"/>
    </xf>
    <xf numFmtId="167" fontId="3" fillId="5" borderId="45" xfId="0" applyNumberFormat="1" applyFont="1" applyFill="1" applyBorder="1" applyAlignment="1">
      <alignment horizontal="right" vertical="center"/>
    </xf>
    <xf numFmtId="167" fontId="3" fillId="7" borderId="45" xfId="0" applyNumberFormat="1" applyFont="1" applyFill="1" applyBorder="1" applyAlignment="1">
      <alignment horizontal="right" vertical="center"/>
    </xf>
    <xf numFmtId="0" fontId="0" fillId="2" borderId="23" xfId="0" applyFill="1" applyBorder="1" applyAlignment="1">
      <alignment horizontal="left"/>
    </xf>
    <xf numFmtId="0" fontId="2" fillId="3" borderId="9" xfId="0" applyFont="1" applyFill="1" applyBorder="1" applyAlignment="1">
      <alignment horizontal="center" vertical="center" wrapText="1"/>
    </xf>
    <xf numFmtId="167" fontId="3" fillId="6" borderId="46" xfId="0" applyNumberFormat="1" applyFont="1" applyFill="1" applyBorder="1" applyAlignment="1">
      <alignment horizontal="right" vertical="center"/>
    </xf>
    <xf numFmtId="0" fontId="0" fillId="0" borderId="23" xfId="0" applyBorder="1" applyAlignment="1">
      <alignment horizontal="left" vertical="top"/>
    </xf>
    <xf numFmtId="167" fontId="21" fillId="0" borderId="23" xfId="0" applyNumberFormat="1" applyFont="1" applyBorder="1" applyAlignment="1">
      <alignment horizontal="right" vertical="center" wrapText="1"/>
    </xf>
    <xf numFmtId="1" fontId="3" fillId="30" borderId="3" xfId="0" applyNumberFormat="1" applyFont="1" applyFill="1" applyBorder="1" applyAlignment="1">
      <alignment horizontal="right" vertical="center"/>
    </xf>
    <xf numFmtId="164" fontId="3" fillId="30" borderId="3" xfId="0" applyNumberFormat="1" applyFont="1" applyFill="1" applyBorder="1" applyAlignment="1">
      <alignment horizontal="right" vertical="center"/>
    </xf>
    <xf numFmtId="10" fontId="3" fillId="30" borderId="3" xfId="0" applyNumberFormat="1" applyFont="1" applyFill="1" applyBorder="1" applyAlignment="1">
      <alignment horizontal="right" vertical="center"/>
    </xf>
    <xf numFmtId="10" fontId="3" fillId="31" borderId="3" xfId="0" applyNumberFormat="1" applyFont="1" applyFill="1" applyBorder="1" applyAlignment="1">
      <alignment horizontal="right" vertical="center"/>
    </xf>
    <xf numFmtId="1" fontId="3" fillId="32" borderId="3" xfId="0" applyNumberFormat="1" applyFont="1" applyFill="1" applyBorder="1" applyAlignment="1">
      <alignment horizontal="right" vertical="center"/>
    </xf>
    <xf numFmtId="164" fontId="3" fillId="32" borderId="3" xfId="0" applyNumberFormat="1" applyFont="1" applyFill="1" applyBorder="1" applyAlignment="1">
      <alignment horizontal="right" vertical="center"/>
    </xf>
    <xf numFmtId="10" fontId="3" fillId="32" borderId="3" xfId="0" applyNumberFormat="1" applyFont="1" applyFill="1" applyBorder="1" applyAlignment="1">
      <alignment horizontal="right" vertical="center"/>
    </xf>
    <xf numFmtId="10" fontId="3" fillId="33" borderId="3" xfId="0" applyNumberFormat="1" applyFont="1" applyFill="1" applyBorder="1" applyAlignment="1">
      <alignment horizontal="right" vertical="center"/>
    </xf>
    <xf numFmtId="10" fontId="10" fillId="2" borderId="0" xfId="0" applyNumberFormat="1" applyFont="1" applyFill="1"/>
    <xf numFmtId="0" fontId="2" fillId="3" borderId="5" xfId="0" applyFont="1" applyFill="1" applyBorder="1" applyAlignment="1">
      <alignment horizontal="left" vertical="center"/>
    </xf>
    <xf numFmtId="164" fontId="16" fillId="0" borderId="35" xfId="0" applyNumberFormat="1" applyFont="1" applyBorder="1" applyAlignment="1">
      <alignment horizontal="right" vertical="center"/>
    </xf>
    <xf numFmtId="164" fontId="16" fillId="0" borderId="3" xfId="0" applyNumberFormat="1" applyFont="1" applyBorder="1" applyAlignment="1">
      <alignment horizontal="right" vertical="center"/>
    </xf>
    <xf numFmtId="164" fontId="16" fillId="0" borderId="6" xfId="0" applyNumberFormat="1" applyFont="1" applyBorder="1" applyAlignment="1">
      <alignment horizontal="right" vertical="center"/>
    </xf>
    <xf numFmtId="164" fontId="7" fillId="0" borderId="9" xfId="0" applyNumberFormat="1" applyFont="1" applyBorder="1" applyAlignment="1">
      <alignment horizontal="right" vertical="center"/>
    </xf>
    <xf numFmtId="164" fontId="0" fillId="0" borderId="23" xfId="0" applyNumberFormat="1" applyBorder="1"/>
    <xf numFmtId="164" fontId="7" fillId="0" borderId="48" xfId="0" applyNumberFormat="1" applyFont="1" applyBorder="1" applyAlignment="1">
      <alignment horizontal="right" vertical="center"/>
    </xf>
    <xf numFmtId="166" fontId="16" fillId="0" borderId="35" xfId="0" applyNumberFormat="1" applyFont="1" applyBorder="1" applyAlignment="1">
      <alignment horizontal="right" vertical="center"/>
    </xf>
    <xf numFmtId="166" fontId="16" fillId="0" borderId="3" xfId="0" applyNumberFormat="1" applyFont="1" applyBorder="1" applyAlignment="1">
      <alignment horizontal="right" vertical="center"/>
    </xf>
    <xf numFmtId="168" fontId="0" fillId="2" borderId="23" xfId="0" applyNumberFormat="1" applyFill="1" applyBorder="1"/>
    <xf numFmtId="168" fontId="0" fillId="2" borderId="28" xfId="0" applyNumberFormat="1" applyFill="1" applyBorder="1"/>
    <xf numFmtId="0" fontId="22" fillId="0" borderId="49" xfId="0" applyFont="1" applyBorder="1"/>
    <xf numFmtId="4" fontId="22" fillId="0" borderId="49" xfId="0" applyNumberFormat="1" applyFont="1" applyBorder="1"/>
    <xf numFmtId="0" fontId="12" fillId="18" borderId="49" xfId="0" applyFont="1" applyFill="1" applyBorder="1" applyAlignment="1">
      <alignment horizontal="left"/>
    </xf>
    <xf numFmtId="0" fontId="12" fillId="18" borderId="49" xfId="0" applyFont="1" applyFill="1" applyBorder="1"/>
    <xf numFmtId="0" fontId="22" fillId="0" borderId="49" xfId="0" applyFont="1" applyBorder="1" applyAlignment="1">
      <alignment horizontal="right" indent="1"/>
    </xf>
    <xf numFmtId="0" fontId="2" fillId="4" borderId="1" xfId="0" applyFont="1" applyFill="1" applyBorder="1" applyAlignment="1">
      <alignment horizontal="left" vertical="center"/>
    </xf>
    <xf numFmtId="0" fontId="2" fillId="4" borderId="47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8" fillId="2" borderId="38" xfId="0" applyFont="1" applyFill="1" applyBorder="1" applyAlignment="1">
      <alignment horizontal="left" vertical="top" wrapText="1"/>
    </xf>
    <xf numFmtId="0" fontId="18" fillId="2" borderId="42" xfId="0" applyFont="1" applyFill="1" applyBorder="1" applyAlignment="1">
      <alignment horizontal="left" vertical="top" wrapText="1"/>
    </xf>
    <xf numFmtId="0" fontId="18" fillId="2" borderId="31" xfId="0" applyFont="1" applyFill="1" applyBorder="1" applyAlignment="1">
      <alignment horizontal="left" vertical="top" wrapText="1"/>
    </xf>
    <xf numFmtId="0" fontId="18" fillId="2" borderId="30" xfId="0" applyFont="1" applyFill="1" applyBorder="1" applyAlignment="1">
      <alignment horizontal="left" vertical="top" wrapText="1"/>
    </xf>
    <xf numFmtId="0" fontId="18" fillId="2" borderId="26" xfId="0" applyFont="1" applyFill="1" applyBorder="1" applyAlignment="1">
      <alignment horizontal="left" vertical="top" wrapText="1"/>
    </xf>
    <xf numFmtId="0" fontId="18" fillId="2" borderId="29" xfId="0" applyFont="1" applyFill="1" applyBorder="1" applyAlignment="1">
      <alignment horizontal="left" vertical="top" wrapText="1"/>
    </xf>
    <xf numFmtId="0" fontId="0" fillId="2" borderId="27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10" fillId="2" borderId="27" xfId="0" applyFont="1" applyFill="1" applyBorder="1" applyAlignment="1">
      <alignment horizontal="center"/>
    </xf>
    <xf numFmtId="0" fontId="10" fillId="2" borderId="29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19" fillId="25" borderId="0" xfId="0" applyFont="1" applyFill="1" applyAlignment="1">
      <alignment horizontal="center" wrapText="1"/>
    </xf>
    <xf numFmtId="0" fontId="19" fillId="25" borderId="0" xfId="0" applyFont="1" applyFill="1" applyAlignment="1">
      <alignment horizontal="center"/>
    </xf>
    <xf numFmtId="0" fontId="19" fillId="26" borderId="0" xfId="0" applyFont="1" applyFill="1" applyAlignment="1">
      <alignment horizontal="center" wrapText="1"/>
    </xf>
    <xf numFmtId="0" fontId="19" fillId="26" borderId="0" xfId="0" applyFont="1" applyFill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B5815F6-9F53-344B-B48C-7CDCBAA916AE}">
  <we:reference id="WA104379190" version="2.0.0.0" store="Omex" storeType="OMEX"/>
  <we:alternateReferences>
    <we:reference id="WA104379190" version="2.0.0.0" store="WA104379190" storeType="OMEX"/>
  </we:alternateReferences>
  <we:properties/>
  <we:bindings>
    <we:binding id="RangeSelect" type="matrix" appref="{E343052E-11A4-9945-839C-94043A679BF3}"/>
    <we:binding id="InputY" type="matrix" appref="{50BF0354-A96E-4C4E-8F29-782B7A26DF2F}"/>
    <we:binding id="InputX" type="matrix" appref="{04189108-C648-DB48-84FD-E2822227A500}"/>
    <we:binding id="Output" type="matrix" appref="{399E5098-0FF2-A545-800C-139719FFE67D}"/>
  </we:bindings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9182AA6-F1C1-5348-95EB-DD99B42DEE89}">
  <we:reference id="WA200006918" version="1.2.2.0" store="Omex" storeType="OMEX"/>
  <we:alternateReferences>
    <we:reference id="WA200006918" version="1.2.2.0" store="WA200006918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6215-C7B8-2B43-9BED-8DCF8DA4BACF}">
  <dimension ref="B1:K68"/>
  <sheetViews>
    <sheetView topLeftCell="A34" workbookViewId="0">
      <selection activeCell="I56" sqref="I56"/>
    </sheetView>
  </sheetViews>
  <sheetFormatPr baseColWidth="10" defaultRowHeight="15"/>
  <cols>
    <col min="1" max="1" width="3.1640625" style="1" customWidth="1"/>
    <col min="2" max="2" width="29.83203125" style="1" customWidth="1"/>
    <col min="3" max="6" width="12.83203125" style="1" customWidth="1"/>
    <col min="7" max="8" width="10.83203125" style="1"/>
    <col min="9" max="9" width="33.83203125" style="1" customWidth="1"/>
    <col min="10" max="10" width="37.33203125" style="1" customWidth="1"/>
    <col min="11" max="16384" width="10.83203125" style="1"/>
  </cols>
  <sheetData>
    <row r="1" spans="2:11" ht="29" customHeight="1" thickBot="1">
      <c r="B1" s="228" t="s">
        <v>7</v>
      </c>
      <c r="C1" s="228"/>
      <c r="D1" s="228"/>
      <c r="E1" s="228"/>
      <c r="F1" s="228"/>
      <c r="G1" s="228"/>
      <c r="H1" s="228"/>
      <c r="I1" s="228"/>
      <c r="J1" s="228"/>
      <c r="K1" s="228"/>
    </row>
    <row r="3" spans="2:11" ht="16" thickBot="1"/>
    <row r="4" spans="2:11" ht="16" thickBot="1">
      <c r="B4" s="226" t="s">
        <v>0</v>
      </c>
      <c r="C4" s="226"/>
      <c r="D4" s="226"/>
      <c r="E4" s="226"/>
      <c r="F4" s="226"/>
      <c r="G4" s="226"/>
      <c r="H4" s="226"/>
      <c r="I4" s="227"/>
    </row>
    <row r="5" spans="2:11" ht="16" thickBot="1">
      <c r="B5" s="2" t="s">
        <v>1</v>
      </c>
      <c r="C5" s="3">
        <v>2020</v>
      </c>
      <c r="D5" s="3">
        <f>C5+1</f>
        <v>2021</v>
      </c>
      <c r="E5" s="3">
        <f t="shared" ref="E5:H5" si="0">D5+1</f>
        <v>2022</v>
      </c>
      <c r="F5" s="3">
        <f t="shared" si="0"/>
        <v>2023</v>
      </c>
      <c r="G5" s="3">
        <f t="shared" si="0"/>
        <v>2024</v>
      </c>
      <c r="H5" s="3">
        <f t="shared" si="0"/>
        <v>2025</v>
      </c>
      <c r="I5" s="9" t="s">
        <v>2</v>
      </c>
    </row>
    <row r="6" spans="2:11" ht="15" customHeight="1">
      <c r="B6" s="4" t="s">
        <v>3</v>
      </c>
      <c r="C6" s="7">
        <f>'2020'!D12</f>
        <v>31486</v>
      </c>
      <c r="D6" s="7">
        <f>'2021'!D12</f>
        <v>30652</v>
      </c>
      <c r="E6" s="7">
        <f>'2022'!D17</f>
        <v>31447</v>
      </c>
      <c r="F6" s="7">
        <f>'2023'!D18</f>
        <v>36000</v>
      </c>
      <c r="G6" s="7">
        <f>'2024'!D18</f>
        <v>38547</v>
      </c>
      <c r="H6" s="7">
        <f>'2025'!D19</f>
        <v>38940</v>
      </c>
      <c r="I6" s="10"/>
      <c r="J6" s="11"/>
    </row>
    <row r="7" spans="2:11" ht="15" customHeight="1">
      <c r="B7" s="5" t="s">
        <v>6</v>
      </c>
      <c r="C7" s="8">
        <f>'2020'!D13</f>
        <v>5635</v>
      </c>
      <c r="D7" s="8">
        <f>'2021'!D13</f>
        <v>5560</v>
      </c>
      <c r="E7" s="8">
        <f>'2022'!D18</f>
        <v>5589</v>
      </c>
      <c r="F7" s="8">
        <f>'2023'!D19</f>
        <v>5866</v>
      </c>
      <c r="G7" s="8">
        <f>'2024'!D19</f>
        <v>6251</v>
      </c>
      <c r="H7" s="8">
        <f>'2025'!D20</f>
        <v>6481</v>
      </c>
      <c r="I7" s="10"/>
      <c r="J7" s="11"/>
    </row>
    <row r="8" spans="2:11" ht="15" customHeight="1">
      <c r="B8" s="4" t="s">
        <v>4</v>
      </c>
      <c r="C8" s="7">
        <f>'2020'!D11</f>
        <v>9200</v>
      </c>
      <c r="D8" s="7">
        <f>'2021'!D11</f>
        <v>9725</v>
      </c>
      <c r="E8" s="7">
        <f>'2022'!D16</f>
        <v>11001</v>
      </c>
      <c r="F8" s="7">
        <f>'2023'!D17</f>
        <v>11461</v>
      </c>
      <c r="G8" s="7">
        <f>'2024'!D17</f>
        <v>10864</v>
      </c>
      <c r="H8" s="7">
        <f>'2025'!D18</f>
        <v>10494</v>
      </c>
      <c r="I8" s="10"/>
      <c r="J8" s="11"/>
    </row>
    <row r="9" spans="2:11" ht="15" customHeight="1">
      <c r="B9" s="14" t="s">
        <v>80</v>
      </c>
      <c r="C9" s="69">
        <f>'2020'!O13</f>
        <v>18211</v>
      </c>
      <c r="D9" s="69">
        <f>'2021'!P13</f>
        <v>18145</v>
      </c>
      <c r="E9" s="69">
        <f>'2022'!O16</f>
        <v>13939</v>
      </c>
      <c r="F9" s="69">
        <f>'2023'!O17</f>
        <v>14674</v>
      </c>
      <c r="G9" s="69">
        <f>'2024'!O17</f>
        <v>15727</v>
      </c>
      <c r="H9" s="69">
        <f>'2025'!N17</f>
        <v>16201</v>
      </c>
      <c r="I9" s="16"/>
      <c r="J9" s="11"/>
    </row>
    <row r="10" spans="2:11" ht="15" customHeight="1">
      <c r="B10" s="14" t="s">
        <v>81</v>
      </c>
      <c r="C10" s="19">
        <f>'2020'!O7</f>
        <v>7970</v>
      </c>
      <c r="D10" s="19">
        <f>'2021'!P7</f>
        <v>8614</v>
      </c>
      <c r="E10" s="19">
        <f>'2022'!O9</f>
        <v>14868</v>
      </c>
      <c r="F10" s="19">
        <f>'2023'!O10</f>
        <v>15961</v>
      </c>
      <c r="G10" s="19">
        <f>'2024'!O10</f>
        <v>17579</v>
      </c>
      <c r="H10" s="19">
        <f>'2025'!N11</f>
        <v>18382</v>
      </c>
      <c r="I10" s="16"/>
      <c r="J10" s="11"/>
    </row>
    <row r="11" spans="2:11" ht="16" thickBot="1">
      <c r="B11" s="17" t="s">
        <v>5</v>
      </c>
      <c r="C11" s="20">
        <f>SUM(C6:C10)</f>
        <v>72502</v>
      </c>
      <c r="D11" s="20">
        <f t="shared" ref="D11:H11" si="1">SUM(D6:D10)</f>
        <v>72696</v>
      </c>
      <c r="E11" s="20">
        <f t="shared" si="1"/>
        <v>76844</v>
      </c>
      <c r="F11" s="20">
        <f t="shared" si="1"/>
        <v>83962</v>
      </c>
      <c r="G11" s="20">
        <f t="shared" si="1"/>
        <v>88968</v>
      </c>
      <c r="H11" s="20">
        <f t="shared" si="1"/>
        <v>90498</v>
      </c>
      <c r="I11" s="18"/>
    </row>
    <row r="12" spans="2:11" ht="16" thickTop="1"/>
    <row r="13" spans="2:11" ht="16" thickBot="1"/>
    <row r="14" spans="2:11" ht="16" thickBot="1">
      <c r="B14" s="226" t="s">
        <v>8</v>
      </c>
      <c r="C14" s="226"/>
      <c r="D14" s="226"/>
      <c r="E14" s="226"/>
      <c r="F14" s="226"/>
      <c r="G14" s="226"/>
      <c r="H14" s="226"/>
      <c r="I14" s="227"/>
    </row>
    <row r="15" spans="2:11" ht="16" thickBot="1">
      <c r="B15" s="2" t="s">
        <v>1</v>
      </c>
      <c r="C15" s="3">
        <v>2020</v>
      </c>
      <c r="D15" s="3">
        <f>C15+1</f>
        <v>2021</v>
      </c>
      <c r="E15" s="3">
        <f t="shared" ref="E15:H15" si="2">D15+1</f>
        <v>2022</v>
      </c>
      <c r="F15" s="3">
        <f t="shared" si="2"/>
        <v>2023</v>
      </c>
      <c r="G15" s="3">
        <f t="shared" si="2"/>
        <v>2024</v>
      </c>
      <c r="H15" s="3">
        <f t="shared" si="2"/>
        <v>2025</v>
      </c>
      <c r="I15" s="9" t="s">
        <v>2</v>
      </c>
    </row>
    <row r="16" spans="2:11">
      <c r="B16" s="4" t="s">
        <v>3</v>
      </c>
      <c r="C16" s="7">
        <f>'2020'!G12+'2020'!H12</f>
        <v>2176</v>
      </c>
      <c r="D16" s="7">
        <f>'2021'!G12+'2021'!H12</f>
        <v>1033</v>
      </c>
      <c r="E16" s="7">
        <f>'2022'!G17+'2022'!H17</f>
        <v>733</v>
      </c>
      <c r="F16" s="7">
        <f>'2023'!G18+'2023'!H18</f>
        <v>793</v>
      </c>
      <c r="G16" s="7">
        <f>'2024'!G18+'2024'!H18</f>
        <v>946</v>
      </c>
      <c r="H16" s="7">
        <f>'2025'!G19+'2025'!H19</f>
        <v>746</v>
      </c>
      <c r="I16" s="10"/>
    </row>
    <row r="17" spans="2:9">
      <c r="B17" s="5" t="s">
        <v>6</v>
      </c>
      <c r="C17" s="8">
        <f>'2020'!G13+'2020'!H13</f>
        <v>242</v>
      </c>
      <c r="D17" s="8">
        <f>'2021'!G13+'2021'!H13</f>
        <v>258</v>
      </c>
      <c r="E17" s="8">
        <f>'2022'!G18+'2022'!H18</f>
        <v>188</v>
      </c>
      <c r="F17" s="8">
        <f>'2023'!G19+'2023'!H19</f>
        <v>90</v>
      </c>
      <c r="G17" s="8">
        <f>'2024'!G19+'2024'!H19</f>
        <v>109</v>
      </c>
      <c r="H17" s="8">
        <f>'2025'!G20+'2025'!H20</f>
        <v>96</v>
      </c>
      <c r="I17" s="10"/>
    </row>
    <row r="18" spans="2:9">
      <c r="B18" s="4" t="s">
        <v>4</v>
      </c>
      <c r="C18" s="7">
        <f>'2020'!G11+'2020'!H11</f>
        <v>902</v>
      </c>
      <c r="D18" s="7">
        <f>'2021'!G11+'2021'!H11</f>
        <v>671</v>
      </c>
      <c r="E18" s="7">
        <f>'2022'!G16+'2022'!H16</f>
        <v>436</v>
      </c>
      <c r="F18" s="7">
        <f>'2023'!G17+'2023'!H17</f>
        <v>687</v>
      </c>
      <c r="G18" s="7">
        <f>'2024'!G17+'2024'!H17</f>
        <v>577</v>
      </c>
      <c r="H18" s="7">
        <f>'2025'!G18+'2025'!H18</f>
        <v>375</v>
      </c>
      <c r="I18" s="10"/>
    </row>
    <row r="19" spans="2:9">
      <c r="B19" s="14" t="s">
        <v>80</v>
      </c>
      <c r="C19" s="69">
        <f>'2020'!R13+'2020'!S13</f>
        <v>970</v>
      </c>
      <c r="D19" s="69">
        <f>'2021'!S13+'2021'!T13</f>
        <v>1079</v>
      </c>
      <c r="E19" s="69">
        <f>'2022'!R16+'2022'!S16</f>
        <v>621</v>
      </c>
      <c r="F19" s="69">
        <f>'2023'!R17+'2023'!S17</f>
        <v>440</v>
      </c>
      <c r="G19" s="69">
        <f>'2024'!R17+'2024'!S17</f>
        <v>406</v>
      </c>
      <c r="H19" s="69">
        <f>'2025'!Q17+'2025'!R17</f>
        <v>267</v>
      </c>
      <c r="I19" s="16"/>
    </row>
    <row r="20" spans="2:9">
      <c r="B20" s="14" t="s">
        <v>81</v>
      </c>
      <c r="C20" s="19">
        <f>'2020'!R7+'2020'!S7</f>
        <v>132</v>
      </c>
      <c r="D20" s="19">
        <f>'2021'!S7+'2021'!T7</f>
        <v>108</v>
      </c>
      <c r="E20" s="19">
        <f>'2022'!R9+'2022'!S9</f>
        <v>205</v>
      </c>
      <c r="F20" s="19">
        <f>'2023'!R10+'2023'!S10</f>
        <v>129</v>
      </c>
      <c r="G20" s="19">
        <f>'2024'!R10+'2024'!S10</f>
        <v>142</v>
      </c>
      <c r="H20" s="19">
        <f>'2025'!Q11+'2025'!R11</f>
        <v>344</v>
      </c>
      <c r="I20" s="16"/>
    </row>
    <row r="21" spans="2:9" ht="16" thickBot="1">
      <c r="B21" s="17" t="s">
        <v>5</v>
      </c>
      <c r="C21" s="20">
        <f>SUM(C16:C20)</f>
        <v>4422</v>
      </c>
      <c r="D21" s="20">
        <f t="shared" ref="D21" si="3">SUM(D16:D20)</f>
        <v>3149</v>
      </c>
      <c r="E21" s="20">
        <f t="shared" ref="E21" si="4">SUM(E16:E20)</f>
        <v>2183</v>
      </c>
      <c r="F21" s="20">
        <f t="shared" ref="F21" si="5">SUM(F16:F20)</f>
        <v>2139</v>
      </c>
      <c r="G21" s="20">
        <f t="shared" ref="G21" si="6">SUM(G16:G20)</f>
        <v>2180</v>
      </c>
      <c r="H21" s="20">
        <f t="shared" ref="H21" si="7">SUM(H16:H20)</f>
        <v>1828</v>
      </c>
      <c r="I21" s="18"/>
    </row>
    <row r="22" spans="2:9" ht="16" thickTop="1"/>
    <row r="23" spans="2:9" ht="16" thickBot="1"/>
    <row r="24" spans="2:9" ht="16" thickBot="1">
      <c r="B24" s="226" t="s">
        <v>10</v>
      </c>
      <c r="C24" s="226"/>
      <c r="D24" s="226"/>
      <c r="E24" s="226"/>
      <c r="F24" s="226"/>
      <c r="G24" s="226"/>
      <c r="H24" s="226"/>
      <c r="I24" s="227"/>
    </row>
    <row r="25" spans="2:9" ht="16" thickBot="1">
      <c r="B25" s="2" t="s">
        <v>1</v>
      </c>
      <c r="C25" s="3">
        <v>2020</v>
      </c>
      <c r="D25" s="3">
        <f>C25+1</f>
        <v>2021</v>
      </c>
      <c r="E25" s="3">
        <f t="shared" ref="E25:H25" si="8">D25+1</f>
        <v>2022</v>
      </c>
      <c r="F25" s="3">
        <f t="shared" si="8"/>
        <v>2023</v>
      </c>
      <c r="G25" s="3">
        <f t="shared" si="8"/>
        <v>2024</v>
      </c>
      <c r="H25" s="3">
        <f t="shared" si="8"/>
        <v>2025</v>
      </c>
      <c r="I25" s="9" t="s">
        <v>2</v>
      </c>
    </row>
    <row r="26" spans="2:9">
      <c r="B26" s="4" t="s">
        <v>3</v>
      </c>
      <c r="C26" s="13">
        <f>C16/C6</f>
        <v>6.9110080670774315E-2</v>
      </c>
      <c r="D26" s="13">
        <f t="shared" ref="D26:H26" si="9">D16/D6</f>
        <v>3.3700900430640744E-2</v>
      </c>
      <c r="E26" s="13">
        <f t="shared" si="9"/>
        <v>2.3309059687728558E-2</v>
      </c>
      <c r="F26" s="13">
        <f t="shared" si="9"/>
        <v>2.2027777777777778E-2</v>
      </c>
      <c r="G26" s="13">
        <f t="shared" si="9"/>
        <v>2.454146885620152E-2</v>
      </c>
      <c r="H26" s="13">
        <f t="shared" si="9"/>
        <v>1.9157678479712378E-2</v>
      </c>
      <c r="I26" s="10"/>
    </row>
    <row r="27" spans="2:9">
      <c r="B27" s="5" t="s">
        <v>6</v>
      </c>
      <c r="C27" s="13">
        <f t="shared" ref="C27:H31" si="10">C17/C7</f>
        <v>4.2945874001774624E-2</v>
      </c>
      <c r="D27" s="13">
        <f t="shared" si="10"/>
        <v>4.6402877697841724E-2</v>
      </c>
      <c r="E27" s="13">
        <f t="shared" si="10"/>
        <v>3.3637502236536054E-2</v>
      </c>
      <c r="F27" s="13">
        <f t="shared" si="10"/>
        <v>1.5342652574156155E-2</v>
      </c>
      <c r="G27" s="13">
        <f t="shared" si="10"/>
        <v>1.7437210046392579E-2</v>
      </c>
      <c r="H27" s="13">
        <f t="shared" si="10"/>
        <v>1.4812528930720568E-2</v>
      </c>
      <c r="I27" s="10"/>
    </row>
    <row r="28" spans="2:9">
      <c r="B28" s="4" t="s">
        <v>4</v>
      </c>
      <c r="C28" s="13">
        <f t="shared" si="10"/>
        <v>9.8043478260869565E-2</v>
      </c>
      <c r="D28" s="13">
        <f t="shared" si="10"/>
        <v>6.89974293059126E-2</v>
      </c>
      <c r="E28" s="13">
        <f t="shared" si="10"/>
        <v>3.963276065812199E-2</v>
      </c>
      <c r="F28" s="13">
        <f t="shared" si="10"/>
        <v>5.9942413401971907E-2</v>
      </c>
      <c r="G28" s="13">
        <f t="shared" si="10"/>
        <v>5.3111192930780558E-2</v>
      </c>
      <c r="H28" s="13">
        <f t="shared" si="10"/>
        <v>3.5734705546026299E-2</v>
      </c>
      <c r="I28" s="10"/>
    </row>
    <row r="29" spans="2:9">
      <c r="B29" s="14" t="s">
        <v>80</v>
      </c>
      <c r="C29" s="13">
        <f t="shared" si="10"/>
        <v>5.3264510460710561E-2</v>
      </c>
      <c r="D29" s="13">
        <f t="shared" si="10"/>
        <v>5.9465417470377514E-2</v>
      </c>
      <c r="E29" s="13">
        <f t="shared" si="10"/>
        <v>4.4551259057321185E-2</v>
      </c>
      <c r="F29" s="13">
        <f t="shared" si="10"/>
        <v>2.9985007496251874E-2</v>
      </c>
      <c r="G29" s="13">
        <f t="shared" si="10"/>
        <v>2.5815476568957843E-2</v>
      </c>
      <c r="H29" s="13">
        <f t="shared" si="10"/>
        <v>1.6480464168878464E-2</v>
      </c>
      <c r="I29" s="16"/>
    </row>
    <row r="30" spans="2:9">
      <c r="B30" s="14" t="s">
        <v>81</v>
      </c>
      <c r="C30" s="15">
        <f t="shared" si="10"/>
        <v>1.6562107904642409E-2</v>
      </c>
      <c r="D30" s="15">
        <f t="shared" si="10"/>
        <v>1.2537729277919666E-2</v>
      </c>
      <c r="E30" s="15">
        <f t="shared" si="10"/>
        <v>1.3788001076136669E-2</v>
      </c>
      <c r="F30" s="15">
        <f t="shared" si="10"/>
        <v>8.0822003633857532E-3</v>
      </c>
      <c r="G30" s="15">
        <f t="shared" si="10"/>
        <v>8.0778201262870462E-3</v>
      </c>
      <c r="H30" s="15">
        <f t="shared" si="10"/>
        <v>1.8713959308018713E-2</v>
      </c>
      <c r="I30" s="16"/>
    </row>
    <row r="31" spans="2:9" ht="16" thickBot="1">
      <c r="B31" s="17" t="s">
        <v>9</v>
      </c>
      <c r="C31" s="74">
        <f t="shared" si="10"/>
        <v>6.0991420926319276E-2</v>
      </c>
      <c r="D31" s="74">
        <f t="shared" si="10"/>
        <v>4.3317376471882912E-2</v>
      </c>
      <c r="E31" s="74">
        <f t="shared" si="10"/>
        <v>2.8408203633335068E-2</v>
      </c>
      <c r="F31" s="74">
        <f t="shared" si="10"/>
        <v>2.5475810485695909E-2</v>
      </c>
      <c r="G31" s="74">
        <f t="shared" si="10"/>
        <v>2.4503192158978507E-2</v>
      </c>
      <c r="H31" s="74">
        <f t="shared" si="10"/>
        <v>2.0199341421909878E-2</v>
      </c>
      <c r="I31" s="18"/>
    </row>
    <row r="32" spans="2:9" ht="16" thickTop="1"/>
    <row r="33" spans="2:9" ht="16" thickBot="1"/>
    <row r="34" spans="2:9" ht="16" thickBot="1">
      <c r="B34" s="226" t="s">
        <v>11</v>
      </c>
      <c r="C34" s="226"/>
      <c r="D34" s="226"/>
      <c r="E34" s="226"/>
      <c r="F34" s="226"/>
      <c r="G34" s="226"/>
      <c r="H34" s="226"/>
      <c r="I34" s="227"/>
    </row>
    <row r="35" spans="2:9" ht="16" thickBot="1">
      <c r="B35" s="2" t="s">
        <v>1</v>
      </c>
      <c r="C35" s="3">
        <v>2020</v>
      </c>
      <c r="D35" s="3">
        <f>C35+1</f>
        <v>2021</v>
      </c>
      <c r="E35" s="3">
        <f t="shared" ref="E35:H35" si="11">D35+1</f>
        <v>2022</v>
      </c>
      <c r="F35" s="3">
        <f t="shared" si="11"/>
        <v>2023</v>
      </c>
      <c r="G35" s="3">
        <f t="shared" si="11"/>
        <v>2024</v>
      </c>
      <c r="H35" s="3">
        <f t="shared" si="11"/>
        <v>2025</v>
      </c>
      <c r="I35" s="9" t="s">
        <v>2</v>
      </c>
    </row>
    <row r="36" spans="2:9">
      <c r="B36" s="4" t="s">
        <v>3</v>
      </c>
      <c r="C36" s="7">
        <f>'2020'!G28+'2020'!H28</f>
        <v>731</v>
      </c>
      <c r="D36" s="7">
        <f>'2021'!G27+'2021'!H27</f>
        <v>306</v>
      </c>
      <c r="E36" s="7">
        <f>'2022'!G38+'2022'!H38</f>
        <v>206</v>
      </c>
      <c r="F36" s="7">
        <f>'2023'!G38+'2023'!H38</f>
        <v>214</v>
      </c>
      <c r="G36" s="7">
        <f>'2024'!G39+'2024'!H39</f>
        <v>207</v>
      </c>
      <c r="H36" s="7">
        <f>'2025'!G39+'2025'!H39</f>
        <v>115</v>
      </c>
      <c r="I36" s="10"/>
    </row>
    <row r="37" spans="2:9">
      <c r="B37" s="5" t="s">
        <v>6</v>
      </c>
      <c r="C37" s="8">
        <f>'2020'!G29+'2020'!H29</f>
        <v>143</v>
      </c>
      <c r="D37" s="8">
        <f>'2021'!G28+'2021'!H28</f>
        <v>159</v>
      </c>
      <c r="E37" s="8">
        <f>'2022'!G39+'2022'!H39</f>
        <v>116</v>
      </c>
      <c r="F37" s="8">
        <f>'2023'!G39+'2023'!H39</f>
        <v>45</v>
      </c>
      <c r="G37" s="8">
        <f>'2024'!G40+'2024'!H40</f>
        <v>66</v>
      </c>
      <c r="H37" s="8">
        <f>'2025'!G40+'2025'!H40</f>
        <v>62</v>
      </c>
      <c r="I37" s="10"/>
    </row>
    <row r="38" spans="2:9">
      <c r="B38" s="4" t="s">
        <v>4</v>
      </c>
      <c r="C38" s="7">
        <f>'2020'!G27+'2020'!H27</f>
        <v>204</v>
      </c>
      <c r="D38" s="7">
        <f>'2021'!G26+'2021'!H26</f>
        <v>187</v>
      </c>
      <c r="E38" s="7">
        <f>'2022'!G37+'2022'!H37</f>
        <v>132</v>
      </c>
      <c r="F38" s="7">
        <f>'2023'!G37+'2023'!H37</f>
        <v>204</v>
      </c>
      <c r="G38" s="7">
        <f>'2024'!G38+'2024'!H38</f>
        <v>187</v>
      </c>
      <c r="H38" s="7">
        <f>'2025'!G38+'2025'!H38</f>
        <v>145</v>
      </c>
      <c r="I38" s="10"/>
    </row>
    <row r="39" spans="2:9">
      <c r="B39" s="14" t="s">
        <v>80</v>
      </c>
      <c r="C39" s="69">
        <f>'2020'!R29+'2020'!S29</f>
        <v>294</v>
      </c>
      <c r="D39" s="69">
        <f>'2021'!S28+'2021'!T28</f>
        <v>297</v>
      </c>
      <c r="E39" s="69">
        <f>'2022'!R37+'2022'!S37</f>
        <v>191</v>
      </c>
      <c r="F39" s="69">
        <f>'2023'!R37+'2023'!S37</f>
        <v>124</v>
      </c>
      <c r="G39" s="69">
        <f>'2024'!R38+'2024'!S38</f>
        <v>143</v>
      </c>
      <c r="H39" s="69">
        <f>'2025'!Q39+'2025'!R39</f>
        <v>77</v>
      </c>
      <c r="I39" s="16"/>
    </row>
    <row r="40" spans="2:9">
      <c r="B40" s="14" t="s">
        <v>81</v>
      </c>
      <c r="C40" s="19">
        <f>'2020'!R23+'2020'!S23</f>
        <v>33</v>
      </c>
      <c r="D40" s="19">
        <f>'2021'!S22+'2021'!T22</f>
        <v>22</v>
      </c>
      <c r="E40" s="19">
        <f>'2022'!R30+'2022'!S30</f>
        <v>82</v>
      </c>
      <c r="F40" s="19">
        <f>'2023'!R30+'2023'!S30</f>
        <v>58</v>
      </c>
      <c r="G40" s="19">
        <f>'2024'!R31+'2024'!S31</f>
        <v>46</v>
      </c>
      <c r="H40" s="19">
        <f>'2025'!Q32+'2025'!R32</f>
        <v>84</v>
      </c>
      <c r="I40" s="16"/>
    </row>
    <row r="41" spans="2:9" ht="16" thickBot="1">
      <c r="B41" s="17" t="s">
        <v>9</v>
      </c>
      <c r="C41" s="20">
        <f>SUM(C36:C40)</f>
        <v>1405</v>
      </c>
      <c r="D41" s="20">
        <f>SUM(D36:D40)</f>
        <v>971</v>
      </c>
      <c r="E41" s="20">
        <f t="shared" ref="E41:H41" si="12">SUM(E36:E40)</f>
        <v>727</v>
      </c>
      <c r="F41" s="20">
        <f t="shared" si="12"/>
        <v>645</v>
      </c>
      <c r="G41" s="20">
        <f t="shared" si="12"/>
        <v>649</v>
      </c>
      <c r="H41" s="20">
        <f t="shared" si="12"/>
        <v>483</v>
      </c>
      <c r="I41" s="18"/>
    </row>
    <row r="42" spans="2:9" ht="16" thickTop="1"/>
    <row r="43" spans="2:9" ht="16" thickBot="1"/>
    <row r="44" spans="2:9" ht="16" thickBot="1">
      <c r="B44" s="226" t="s">
        <v>35</v>
      </c>
      <c r="C44" s="226"/>
      <c r="D44" s="226"/>
      <c r="E44" s="226"/>
      <c r="F44" s="226"/>
      <c r="G44" s="226"/>
      <c r="H44" s="226"/>
      <c r="I44" s="227"/>
    </row>
    <row r="45" spans="2:9" ht="16" thickBot="1">
      <c r="B45" s="2" t="s">
        <v>1</v>
      </c>
      <c r="C45" s="3">
        <v>2020</v>
      </c>
      <c r="D45" s="3">
        <f>C45+1</f>
        <v>2021</v>
      </c>
      <c r="E45" s="3">
        <f t="shared" ref="E45:H45" si="13">D45+1</f>
        <v>2022</v>
      </c>
      <c r="F45" s="3">
        <f t="shared" si="13"/>
        <v>2023</v>
      </c>
      <c r="G45" s="3">
        <f t="shared" si="13"/>
        <v>2024</v>
      </c>
      <c r="H45" s="3">
        <f t="shared" si="13"/>
        <v>2025</v>
      </c>
      <c r="I45" s="9" t="s">
        <v>2</v>
      </c>
    </row>
    <row r="46" spans="2:9">
      <c r="B46" s="4" t="s">
        <v>3</v>
      </c>
      <c r="C46" s="13">
        <f t="shared" ref="C46:H46" si="14">C36/C16</f>
        <v>0.3359375</v>
      </c>
      <c r="D46" s="13">
        <f t="shared" si="14"/>
        <v>0.29622458857696032</v>
      </c>
      <c r="E46" s="13">
        <f t="shared" si="14"/>
        <v>0.28103683492496589</v>
      </c>
      <c r="F46" s="13">
        <f t="shared" si="14"/>
        <v>0.26986128625472888</v>
      </c>
      <c r="G46" s="13">
        <f t="shared" si="14"/>
        <v>0.21881606765327696</v>
      </c>
      <c r="H46" s="13">
        <f t="shared" si="14"/>
        <v>0.15415549597855227</v>
      </c>
      <c r="I46" s="10"/>
    </row>
    <row r="47" spans="2:9">
      <c r="B47" s="5" t="s">
        <v>6</v>
      </c>
      <c r="C47" s="13">
        <f t="shared" ref="C47:D51" si="15">C37/C17</f>
        <v>0.59090909090909094</v>
      </c>
      <c r="D47" s="13">
        <f t="shared" si="15"/>
        <v>0.61627906976744184</v>
      </c>
      <c r="E47" s="13">
        <f t="shared" ref="E47:H47" si="16">E37/E17</f>
        <v>0.61702127659574468</v>
      </c>
      <c r="F47" s="13">
        <f t="shared" si="16"/>
        <v>0.5</v>
      </c>
      <c r="G47" s="13">
        <f t="shared" si="16"/>
        <v>0.60550458715596334</v>
      </c>
      <c r="H47" s="13">
        <f t="shared" si="16"/>
        <v>0.64583333333333337</v>
      </c>
      <c r="I47" s="10"/>
    </row>
    <row r="48" spans="2:9">
      <c r="B48" s="4" t="s">
        <v>4</v>
      </c>
      <c r="C48" s="13">
        <f t="shared" si="15"/>
        <v>0.22616407982261641</v>
      </c>
      <c r="D48" s="13">
        <f t="shared" si="15"/>
        <v>0.27868852459016391</v>
      </c>
      <c r="E48" s="13">
        <f t="shared" ref="E48:H48" si="17">E38/E18</f>
        <v>0.30275229357798167</v>
      </c>
      <c r="F48" s="13">
        <f t="shared" si="17"/>
        <v>0.29694323144104806</v>
      </c>
      <c r="G48" s="13">
        <f t="shared" si="17"/>
        <v>0.3240901213171577</v>
      </c>
      <c r="H48" s="13">
        <f t="shared" si="17"/>
        <v>0.38666666666666666</v>
      </c>
      <c r="I48" s="10"/>
    </row>
    <row r="49" spans="2:10">
      <c r="B49" s="14" t="s">
        <v>80</v>
      </c>
      <c r="C49" s="13">
        <f t="shared" si="15"/>
        <v>0.30309278350515462</v>
      </c>
      <c r="D49" s="13">
        <f t="shared" si="15"/>
        <v>0.27525486561631141</v>
      </c>
      <c r="E49" s="13">
        <f t="shared" ref="E49:H49" si="18">E39/E19</f>
        <v>0.30756843800322059</v>
      </c>
      <c r="F49" s="13">
        <f t="shared" si="18"/>
        <v>0.2818181818181818</v>
      </c>
      <c r="G49" s="13">
        <f t="shared" si="18"/>
        <v>0.35221674876847292</v>
      </c>
      <c r="H49" s="13">
        <f t="shared" si="18"/>
        <v>0.28838951310861421</v>
      </c>
      <c r="I49" s="16"/>
    </row>
    <row r="50" spans="2:10">
      <c r="B50" s="14" t="s">
        <v>81</v>
      </c>
      <c r="C50" s="13">
        <f t="shared" si="15"/>
        <v>0.25</v>
      </c>
      <c r="D50" s="13">
        <f t="shared" si="15"/>
        <v>0.20370370370370369</v>
      </c>
      <c r="E50" s="13">
        <f t="shared" ref="E50:H50" si="19">E40/E20</f>
        <v>0.4</v>
      </c>
      <c r="F50" s="13">
        <f t="shared" si="19"/>
        <v>0.44961240310077522</v>
      </c>
      <c r="G50" s="13">
        <f t="shared" si="19"/>
        <v>0.323943661971831</v>
      </c>
      <c r="H50" s="13">
        <f t="shared" si="19"/>
        <v>0.2441860465116279</v>
      </c>
      <c r="I50" s="16"/>
    </row>
    <row r="51" spans="2:10" ht="16" thickBot="1">
      <c r="B51" s="17" t="s">
        <v>9</v>
      </c>
      <c r="C51" s="13">
        <f t="shared" si="15"/>
        <v>0.31772953414744459</v>
      </c>
      <c r="D51" s="13">
        <f t="shared" si="15"/>
        <v>0.30835185773261353</v>
      </c>
      <c r="E51" s="13">
        <f t="shared" ref="E51:H51" si="20">E41/E21</f>
        <v>0.33302794319743473</v>
      </c>
      <c r="F51" s="13">
        <f t="shared" si="20"/>
        <v>0.30154277699859749</v>
      </c>
      <c r="G51" s="13">
        <f t="shared" si="20"/>
        <v>0.29770642201834863</v>
      </c>
      <c r="H51" s="13">
        <f t="shared" si="20"/>
        <v>0.26422319474835887</v>
      </c>
      <c r="I51" s="18"/>
    </row>
    <row r="52" spans="2:10" ht="16" thickTop="1"/>
    <row r="53" spans="2:10" ht="16" thickBot="1"/>
    <row r="54" spans="2:10" ht="16" thickBot="1">
      <c r="B54" s="23" t="s">
        <v>12</v>
      </c>
      <c r="C54" s="23"/>
      <c r="D54" s="23"/>
      <c r="E54" s="23"/>
      <c r="F54" s="23"/>
      <c r="G54" s="23"/>
      <c r="H54" s="23"/>
      <c r="I54" s="12"/>
      <c r="J54" s="26"/>
    </row>
    <row r="55" spans="2:10" ht="16" thickBot="1">
      <c r="B55" s="2" t="s">
        <v>13</v>
      </c>
      <c r="C55" s="3">
        <v>2020</v>
      </c>
      <c r="D55" s="3">
        <v>2021</v>
      </c>
      <c r="E55" s="3">
        <v>2022</v>
      </c>
      <c r="F55" s="3">
        <v>2023</v>
      </c>
      <c r="G55" s="3">
        <v>2024</v>
      </c>
      <c r="H55" s="3">
        <v>2025</v>
      </c>
      <c r="I55" s="9" t="s">
        <v>2</v>
      </c>
      <c r="J55" s="27"/>
    </row>
    <row r="56" spans="2:10">
      <c r="B56" s="4" t="s">
        <v>14</v>
      </c>
      <c r="C56" s="7">
        <v>-1460</v>
      </c>
      <c r="D56" s="7">
        <v>238</v>
      </c>
      <c r="E56" s="7">
        <v>7</v>
      </c>
      <c r="F56" s="7">
        <v>172</v>
      </c>
      <c r="G56" s="7">
        <v>55</v>
      </c>
      <c r="H56" s="7">
        <v>172</v>
      </c>
      <c r="I56" s="24" t="s">
        <v>15</v>
      </c>
      <c r="J56" s="28"/>
    </row>
    <row r="57" spans="2:10">
      <c r="B57" s="4" t="s">
        <v>16</v>
      </c>
      <c r="C57" s="7">
        <f>AVERAGE(C11,D11)</f>
        <v>72599</v>
      </c>
      <c r="D57" s="7">
        <f>AVERAGE(D11,E11)</f>
        <v>74770</v>
      </c>
      <c r="E57" s="7">
        <f t="shared" ref="E57:H57" si="21">AVERAGE(E11,F11)</f>
        <v>80403</v>
      </c>
      <c r="F57" s="7">
        <f t="shared" si="21"/>
        <v>86465</v>
      </c>
      <c r="G57" s="7">
        <f t="shared" si="21"/>
        <v>89733</v>
      </c>
      <c r="H57" s="7">
        <f t="shared" si="21"/>
        <v>90498</v>
      </c>
      <c r="I57" s="24" t="s">
        <v>15</v>
      </c>
      <c r="J57" s="28"/>
    </row>
    <row r="58" spans="2:10">
      <c r="B58" s="21" t="s">
        <v>17</v>
      </c>
      <c r="C58" s="22">
        <f>C56/C57*10000</f>
        <v>-201.10469841182388</v>
      </c>
      <c r="D58" s="22">
        <f>D56/D57*10000</f>
        <v>31.830948241273237</v>
      </c>
      <c r="E58" s="22">
        <f t="shared" ref="E58:H58" si="22">E56/E57*10000</f>
        <v>0.87061428056167067</v>
      </c>
      <c r="F58" s="22">
        <f t="shared" si="22"/>
        <v>19.892442028566471</v>
      </c>
      <c r="G58" s="22">
        <f t="shared" si="22"/>
        <v>6.1292946853442993</v>
      </c>
      <c r="H58" s="22">
        <f t="shared" si="22"/>
        <v>19.005944882759838</v>
      </c>
      <c r="I58" s="25" t="s">
        <v>15</v>
      </c>
      <c r="J58" s="29"/>
    </row>
    <row r="60" spans="2:10" ht="16" thickBot="1"/>
    <row r="61" spans="2:10" ht="16" thickBot="1">
      <c r="B61" s="229" t="s">
        <v>32</v>
      </c>
      <c r="C61" s="230"/>
      <c r="D61" s="230"/>
      <c r="E61" s="230"/>
      <c r="F61" s="230"/>
      <c r="G61" s="230"/>
      <c r="H61" s="230"/>
      <c r="I61" s="230"/>
      <c r="J61" s="26"/>
    </row>
    <row r="62" spans="2:10" ht="16" thickBot="1">
      <c r="B62" s="2" t="s">
        <v>18</v>
      </c>
      <c r="C62" s="3">
        <v>2020</v>
      </c>
      <c r="D62" s="3">
        <f>C62+1</f>
        <v>2021</v>
      </c>
      <c r="E62" s="3">
        <f t="shared" ref="E62:H62" si="23">D62+1</f>
        <v>2022</v>
      </c>
      <c r="F62" s="3">
        <f t="shared" si="23"/>
        <v>2023</v>
      </c>
      <c r="G62" s="3">
        <f t="shared" si="23"/>
        <v>2024</v>
      </c>
      <c r="H62" s="3">
        <f t="shared" si="23"/>
        <v>2025</v>
      </c>
      <c r="I62" s="9" t="s">
        <v>19</v>
      </c>
      <c r="J62" s="27"/>
    </row>
    <row r="63" spans="2:10">
      <c r="B63" s="30" t="s">
        <v>20</v>
      </c>
      <c r="C63" s="7">
        <v>57412</v>
      </c>
      <c r="D63" s="7">
        <v>61961</v>
      </c>
      <c r="E63" s="7">
        <v>67547</v>
      </c>
      <c r="F63" s="7">
        <v>72963</v>
      </c>
      <c r="G63" s="7">
        <v>77356</v>
      </c>
      <c r="H63" s="7">
        <f>'2025'!E21</f>
        <v>79466</v>
      </c>
      <c r="I63" s="38" t="s">
        <v>21</v>
      </c>
      <c r="J63" s="11"/>
    </row>
    <row r="64" spans="2:10" ht="17" customHeight="1">
      <c r="B64" s="31" t="s">
        <v>22</v>
      </c>
      <c r="C64" s="32">
        <v>10668</v>
      </c>
      <c r="D64" s="33">
        <v>7586</v>
      </c>
      <c r="E64" s="32">
        <v>7114</v>
      </c>
      <c r="F64" s="32">
        <v>8860</v>
      </c>
      <c r="G64" s="32">
        <v>9432</v>
      </c>
      <c r="H64" s="32">
        <f>'2025'!F21</f>
        <v>9204</v>
      </c>
      <c r="I64" s="39" t="s">
        <v>23</v>
      </c>
      <c r="J64" s="42"/>
    </row>
    <row r="65" spans="2:10">
      <c r="B65" s="34" t="s">
        <v>24</v>
      </c>
      <c r="C65" s="35">
        <v>4238</v>
      </c>
      <c r="D65" s="35">
        <v>3046</v>
      </c>
      <c r="E65" s="35">
        <v>2096</v>
      </c>
      <c r="F65" s="35">
        <v>2008</v>
      </c>
      <c r="G65" s="35">
        <v>1986</v>
      </c>
      <c r="H65" s="35">
        <f>'2025'!G21</f>
        <v>1662</v>
      </c>
      <c r="I65" s="40" t="s">
        <v>25</v>
      </c>
      <c r="J65" s="43"/>
    </row>
    <row r="66" spans="2:10">
      <c r="B66" s="36" t="s">
        <v>26</v>
      </c>
      <c r="C66" s="37">
        <v>304</v>
      </c>
      <c r="D66" s="37">
        <v>257</v>
      </c>
      <c r="E66" s="37">
        <v>284</v>
      </c>
      <c r="F66" s="37">
        <v>268</v>
      </c>
      <c r="G66" s="37">
        <v>201</v>
      </c>
      <c r="H66" s="37">
        <f>'2025'!E41</f>
        <v>186</v>
      </c>
      <c r="I66" s="41" t="s">
        <v>27</v>
      </c>
      <c r="J66" s="44"/>
    </row>
    <row r="67" spans="2:10">
      <c r="B67" s="36" t="s">
        <v>28</v>
      </c>
      <c r="C67" s="37">
        <v>884</v>
      </c>
      <c r="D67" s="37">
        <v>736</v>
      </c>
      <c r="E67" s="37">
        <v>685</v>
      </c>
      <c r="F67" s="37">
        <v>666</v>
      </c>
      <c r="G67" s="37">
        <v>551</v>
      </c>
      <c r="H67" s="37">
        <f>'2025'!F41</f>
        <v>522</v>
      </c>
      <c r="I67" s="41" t="s">
        <v>29</v>
      </c>
      <c r="J67" s="44"/>
    </row>
    <row r="68" spans="2:10">
      <c r="B68" s="36" t="s">
        <v>30</v>
      </c>
      <c r="C68" s="37">
        <v>1336</v>
      </c>
      <c r="D68" s="37">
        <v>940</v>
      </c>
      <c r="E68" s="37">
        <v>718</v>
      </c>
      <c r="F68" s="37">
        <v>647</v>
      </c>
      <c r="G68" s="37">
        <v>660</v>
      </c>
      <c r="H68" s="37">
        <f>'2025'!G41</f>
        <v>499</v>
      </c>
      <c r="I68" s="41" t="s">
        <v>31</v>
      </c>
      <c r="J68" s="44"/>
    </row>
  </sheetData>
  <mergeCells count="7">
    <mergeCell ref="B4:I4"/>
    <mergeCell ref="B1:K1"/>
    <mergeCell ref="B61:I61"/>
    <mergeCell ref="B14:I14"/>
    <mergeCell ref="B24:I24"/>
    <mergeCell ref="B34:I34"/>
    <mergeCell ref="B44:I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410C-D507-4645-A17A-C1DAD56E5BEB}">
  <dimension ref="B1:N46"/>
  <sheetViews>
    <sheetView topLeftCell="A19" workbookViewId="0">
      <selection activeCell="N42" sqref="N42"/>
    </sheetView>
  </sheetViews>
  <sheetFormatPr baseColWidth="10" defaultRowHeight="15"/>
  <cols>
    <col min="1" max="1" width="3.83203125" style="1" customWidth="1"/>
    <col min="2" max="2" width="28.5" style="1" customWidth="1"/>
    <col min="3" max="6" width="12.83203125" style="1" customWidth="1"/>
    <col min="7" max="8" width="10.83203125" style="1"/>
    <col min="9" max="9" width="33.83203125" style="1" customWidth="1"/>
    <col min="10" max="10" width="24.1640625" style="1" customWidth="1"/>
    <col min="11" max="11" width="22.83203125" style="1" customWidth="1"/>
    <col min="12" max="12" width="28.83203125" style="1" customWidth="1"/>
    <col min="13" max="13" width="26.33203125" style="1" customWidth="1"/>
    <col min="14" max="14" width="22.6640625" style="1" customWidth="1"/>
    <col min="15" max="16384" width="10.83203125" style="1"/>
  </cols>
  <sheetData>
    <row r="1" spans="2:14" ht="25" customHeight="1" thickBot="1">
      <c r="B1" s="223" t="s">
        <v>34</v>
      </c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5"/>
    </row>
    <row r="3" spans="2:14" ht="16" thickBot="1">
      <c r="M3"/>
    </row>
    <row r="4" spans="2:14" ht="16" thickBot="1">
      <c r="B4" s="221" t="s">
        <v>85</v>
      </c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45" t="s">
        <v>33</v>
      </c>
    </row>
    <row r="5" spans="2:14">
      <c r="B5" s="75" t="s">
        <v>1</v>
      </c>
      <c r="C5" s="76">
        <v>2020</v>
      </c>
      <c r="D5" s="76">
        <f>C5+1</f>
        <v>2021</v>
      </c>
      <c r="E5" s="76">
        <f t="shared" ref="E5:H5" si="0">D5+1</f>
        <v>2022</v>
      </c>
      <c r="F5" s="76">
        <f t="shared" si="0"/>
        <v>2023</v>
      </c>
      <c r="G5" s="76">
        <f t="shared" si="0"/>
        <v>2024</v>
      </c>
      <c r="H5" s="76">
        <f t="shared" si="0"/>
        <v>2025</v>
      </c>
      <c r="I5" s="77" t="s">
        <v>2</v>
      </c>
    </row>
    <row r="6" spans="2:14">
      <c r="B6" s="4" t="s">
        <v>3</v>
      </c>
      <c r="C6" s="13">
        <f>'Raw Data'!C26</f>
        <v>6.9110080670774315E-2</v>
      </c>
      <c r="D6" s="13">
        <v>3.7400000000000003E-2</v>
      </c>
      <c r="E6" s="13">
        <v>2.4E-2</v>
      </c>
      <c r="F6" s="13">
        <v>2.3099999999999999E-2</v>
      </c>
      <c r="G6" s="13">
        <v>2.1100000000000001E-2</v>
      </c>
      <c r="H6" s="13">
        <v>1.6500000000000001E-2</v>
      </c>
      <c r="I6" s="78" t="s">
        <v>87</v>
      </c>
    </row>
    <row r="7" spans="2:14">
      <c r="B7" s="5" t="s">
        <v>6</v>
      </c>
      <c r="C7" s="13">
        <f>'Raw Data'!C27</f>
        <v>4.2945874001774624E-2</v>
      </c>
      <c r="D7" s="13">
        <f>'Raw Data'!D27</f>
        <v>4.6402877697841724E-2</v>
      </c>
      <c r="E7" s="13">
        <f>'Raw Data'!E27</f>
        <v>3.3637502236536054E-2</v>
      </c>
      <c r="F7" s="13">
        <f>'Raw Data'!F27</f>
        <v>1.5342652574156155E-2</v>
      </c>
      <c r="G7" s="13">
        <f>'Raw Data'!G27</f>
        <v>1.7437210046392579E-2</v>
      </c>
      <c r="H7" s="13">
        <f>'Raw Data'!H27</f>
        <v>1.4812528930720568E-2</v>
      </c>
      <c r="I7" s="78" t="s">
        <v>86</v>
      </c>
    </row>
    <row r="8" spans="2:14">
      <c r="B8" s="4" t="s">
        <v>4</v>
      </c>
      <c r="C8" s="13">
        <f>'Raw Data'!C28</f>
        <v>9.8043478260869565E-2</v>
      </c>
      <c r="D8" s="13">
        <f>'Raw Data'!D28</f>
        <v>6.89974293059126E-2</v>
      </c>
      <c r="E8" s="13">
        <f>'Raw Data'!E28</f>
        <v>3.963276065812199E-2</v>
      </c>
      <c r="F8" s="13">
        <f>'Raw Data'!F28</f>
        <v>5.9942413401971907E-2</v>
      </c>
      <c r="G8" s="13">
        <f>'Raw Data'!G28</f>
        <v>5.3111192930780558E-2</v>
      </c>
      <c r="H8" s="13">
        <f>'Raw Data'!H28</f>
        <v>3.5734705546026299E-2</v>
      </c>
      <c r="I8" s="78" t="s">
        <v>87</v>
      </c>
    </row>
    <row r="9" spans="2:14">
      <c r="B9" s="14" t="s">
        <v>80</v>
      </c>
      <c r="C9" s="13">
        <f>'Raw Data'!C29</f>
        <v>5.3264510460710561E-2</v>
      </c>
      <c r="D9" s="13">
        <f>'Raw Data'!D29</f>
        <v>5.9465417470377514E-2</v>
      </c>
      <c r="E9" s="13">
        <f>'Raw Data'!E29</f>
        <v>4.4551259057321185E-2</v>
      </c>
      <c r="F9" s="13">
        <f>'Raw Data'!F29</f>
        <v>2.9985007496251874E-2</v>
      </c>
      <c r="G9" s="13">
        <f>'Raw Data'!G29</f>
        <v>2.5815476568957843E-2</v>
      </c>
      <c r="H9" s="13">
        <f>'Raw Data'!H29</f>
        <v>1.6480464168878464E-2</v>
      </c>
      <c r="I9" s="78" t="s">
        <v>99</v>
      </c>
    </row>
    <row r="10" spans="2:14">
      <c r="B10" s="46" t="s">
        <v>81</v>
      </c>
      <c r="C10" s="13">
        <f>'Raw Data'!C30</f>
        <v>1.6562107904642409E-2</v>
      </c>
      <c r="D10" s="13">
        <v>1.9699999999999999E-2</v>
      </c>
      <c r="E10" s="13">
        <v>1.78E-2</v>
      </c>
      <c r="F10" s="13">
        <v>1.2500000000000001E-2</v>
      </c>
      <c r="G10" s="13">
        <v>1.7299999999999999E-2</v>
      </c>
      <c r="H10" s="13">
        <v>4.1799999999999997E-2</v>
      </c>
      <c r="I10" s="78" t="s">
        <v>87</v>
      </c>
    </row>
    <row r="12" spans="2:14" ht="16" thickBot="1"/>
    <row r="13" spans="2:14" ht="16" thickBot="1">
      <c r="B13" s="221" t="s">
        <v>84</v>
      </c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</row>
    <row r="14" spans="2:14">
      <c r="B14" s="75" t="s">
        <v>1</v>
      </c>
      <c r="C14" s="76">
        <v>2020</v>
      </c>
      <c r="D14" s="76">
        <f>C14+1</f>
        <v>2021</v>
      </c>
      <c r="E14" s="76">
        <f t="shared" ref="E14:H14" si="1">D14+1</f>
        <v>2022</v>
      </c>
      <c r="F14" s="76">
        <f t="shared" si="1"/>
        <v>2023</v>
      </c>
      <c r="G14" s="76">
        <f t="shared" si="1"/>
        <v>2024</v>
      </c>
      <c r="H14" s="76">
        <f t="shared" si="1"/>
        <v>2025</v>
      </c>
      <c r="I14" s="77" t="s">
        <v>2</v>
      </c>
    </row>
    <row r="15" spans="2:14">
      <c r="B15" s="4" t="s">
        <v>3</v>
      </c>
      <c r="C15" s="13">
        <v>0.28499999999999998</v>
      </c>
      <c r="D15" s="13">
        <v>0.28499999999999998</v>
      </c>
      <c r="E15" s="13">
        <v>0.28549999999999998</v>
      </c>
      <c r="F15" s="13">
        <v>0.28820000000000001</v>
      </c>
      <c r="G15" s="13">
        <v>0.33250000000000002</v>
      </c>
      <c r="H15" s="13">
        <v>0.32979999999999998</v>
      </c>
      <c r="I15" s="78" t="s">
        <v>87</v>
      </c>
    </row>
    <row r="16" spans="2:14">
      <c r="B16" s="5" t="s">
        <v>6</v>
      </c>
      <c r="C16" s="13">
        <f>'Raw Data'!C47</f>
        <v>0.59090909090909094</v>
      </c>
      <c r="D16" s="13">
        <f>'Raw Data'!D47</f>
        <v>0.61627906976744184</v>
      </c>
      <c r="E16" s="13">
        <f>'Raw Data'!E47</f>
        <v>0.61702127659574468</v>
      </c>
      <c r="F16" s="13">
        <f>'Raw Data'!F47</f>
        <v>0.5</v>
      </c>
      <c r="G16" s="13">
        <f>'Raw Data'!G47</f>
        <v>0.60550458715596334</v>
      </c>
      <c r="H16" s="13">
        <f>'Raw Data'!H47</f>
        <v>0.64583333333333337</v>
      </c>
      <c r="I16" s="78" t="s">
        <v>88</v>
      </c>
    </row>
    <row r="17" spans="2:13">
      <c r="B17" s="4" t="s">
        <v>4</v>
      </c>
      <c r="C17" s="13">
        <v>0.4652</v>
      </c>
      <c r="D17" s="13">
        <v>0.4652</v>
      </c>
      <c r="E17" s="13">
        <v>0.47060000000000002</v>
      </c>
      <c r="F17" s="13">
        <v>0.49170000000000003</v>
      </c>
      <c r="G17" s="13">
        <v>0.4819</v>
      </c>
      <c r="H17" s="13">
        <v>0.42759999999999998</v>
      </c>
      <c r="I17" s="78" t="s">
        <v>87</v>
      </c>
    </row>
    <row r="18" spans="2:13">
      <c r="B18" s="14" t="s">
        <v>80</v>
      </c>
      <c r="C18" s="13">
        <v>0.44969999999999999</v>
      </c>
      <c r="D18" s="13">
        <v>0.44969999999999999</v>
      </c>
      <c r="E18" s="13">
        <v>0.44740000000000002</v>
      </c>
      <c r="F18" s="13">
        <v>0.4476</v>
      </c>
      <c r="G18" s="13">
        <v>0.44790000000000002</v>
      </c>
      <c r="H18" s="79">
        <v>0.44790000000000002</v>
      </c>
      <c r="I18" s="78" t="s">
        <v>87</v>
      </c>
    </row>
    <row r="19" spans="2:13">
      <c r="B19" s="46" t="s">
        <v>81</v>
      </c>
      <c r="C19" s="13">
        <v>0.44479999999999997</v>
      </c>
      <c r="D19" s="13">
        <v>0.44479999999999997</v>
      </c>
      <c r="E19" s="13">
        <v>0.44450000000000001</v>
      </c>
      <c r="F19" s="13">
        <v>0.4425</v>
      </c>
      <c r="G19" s="13">
        <v>0.45279999999999998</v>
      </c>
      <c r="H19" s="13">
        <v>0.39400000000000002</v>
      </c>
      <c r="I19" s="78" t="s">
        <v>87</v>
      </c>
    </row>
    <row r="21" spans="2:13" ht="16" thickBot="1"/>
    <row r="22" spans="2:13" ht="16" thickBot="1">
      <c r="B22" s="221" t="s">
        <v>89</v>
      </c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</row>
    <row r="23" spans="2:13" ht="16" thickBot="1">
      <c r="B23" s="2" t="s">
        <v>1</v>
      </c>
      <c r="C23" s="3">
        <v>2020</v>
      </c>
      <c r="D23" s="3">
        <f>C23+1</f>
        <v>2021</v>
      </c>
      <c r="E23" s="3">
        <f t="shared" ref="E23:H23" si="2">D23+1</f>
        <v>2022</v>
      </c>
      <c r="F23" s="3">
        <f t="shared" si="2"/>
        <v>2023</v>
      </c>
      <c r="G23" s="3">
        <f t="shared" si="2"/>
        <v>2024</v>
      </c>
      <c r="H23" s="3">
        <f t="shared" si="2"/>
        <v>2025</v>
      </c>
      <c r="I23" s="9" t="s">
        <v>2</v>
      </c>
    </row>
    <row r="24" spans="2:13">
      <c r="B24" s="4" t="s">
        <v>3</v>
      </c>
      <c r="C24" s="7">
        <f>'Raw Data'!C6</f>
        <v>31486</v>
      </c>
      <c r="D24" s="7">
        <f>'Raw Data'!D6</f>
        <v>30652</v>
      </c>
      <c r="E24" s="7">
        <f>'Raw Data'!E6</f>
        <v>31447</v>
      </c>
      <c r="F24" s="7">
        <f>'Raw Data'!F6</f>
        <v>36000</v>
      </c>
      <c r="G24" s="7">
        <f>'Raw Data'!G6</f>
        <v>38547</v>
      </c>
      <c r="H24" s="7">
        <f>'Raw Data'!H6</f>
        <v>38940</v>
      </c>
      <c r="I24" s="10"/>
    </row>
    <row r="25" spans="2:13">
      <c r="B25" s="5" t="s">
        <v>6</v>
      </c>
      <c r="C25" s="7">
        <f>'Raw Data'!C7</f>
        <v>5635</v>
      </c>
      <c r="D25" s="7">
        <f>'Raw Data'!D7</f>
        <v>5560</v>
      </c>
      <c r="E25" s="7">
        <f>'Raw Data'!E7</f>
        <v>5589</v>
      </c>
      <c r="F25" s="7">
        <f>'Raw Data'!F7</f>
        <v>5866</v>
      </c>
      <c r="G25" s="7">
        <f>'Raw Data'!G7</f>
        <v>6251</v>
      </c>
      <c r="H25" s="7">
        <f>'Raw Data'!H7</f>
        <v>6481</v>
      </c>
      <c r="I25" s="10"/>
    </row>
    <row r="26" spans="2:13">
      <c r="B26" s="4" t="s">
        <v>4</v>
      </c>
      <c r="C26" s="7">
        <f>'Raw Data'!C8</f>
        <v>9200</v>
      </c>
      <c r="D26" s="7">
        <f>'Raw Data'!D8</f>
        <v>9725</v>
      </c>
      <c r="E26" s="7">
        <f>'Raw Data'!E8</f>
        <v>11001</v>
      </c>
      <c r="F26" s="7">
        <f>'Raw Data'!F8</f>
        <v>11461</v>
      </c>
      <c r="G26" s="7">
        <f>'Raw Data'!G8</f>
        <v>10864</v>
      </c>
      <c r="H26" s="7">
        <f>'Raw Data'!H8</f>
        <v>10494</v>
      </c>
      <c r="I26" s="10"/>
    </row>
    <row r="27" spans="2:13">
      <c r="B27" s="14" t="s">
        <v>80</v>
      </c>
      <c r="C27" s="7">
        <f>'Raw Data'!C9</f>
        <v>18211</v>
      </c>
      <c r="D27" s="7">
        <f>'Raw Data'!D9</f>
        <v>18145</v>
      </c>
      <c r="E27" s="7">
        <f>'Raw Data'!E9</f>
        <v>13939</v>
      </c>
      <c r="F27" s="7">
        <f>'Raw Data'!F9</f>
        <v>14674</v>
      </c>
      <c r="G27" s="7">
        <f>'Raw Data'!G9</f>
        <v>15727</v>
      </c>
      <c r="H27" s="7">
        <f>'Raw Data'!H9</f>
        <v>16201</v>
      </c>
      <c r="I27" s="16"/>
    </row>
    <row r="28" spans="2:13">
      <c r="B28" s="46" t="s">
        <v>81</v>
      </c>
      <c r="C28" s="7">
        <f>'Raw Data'!C10</f>
        <v>7970</v>
      </c>
      <c r="D28" s="7">
        <f>'Raw Data'!D10</f>
        <v>8614</v>
      </c>
      <c r="E28" s="7">
        <f>'Raw Data'!E10</f>
        <v>14868</v>
      </c>
      <c r="F28" s="7">
        <f>'Raw Data'!F10</f>
        <v>15961</v>
      </c>
      <c r="G28" s="7">
        <f>'Raw Data'!G10</f>
        <v>17579</v>
      </c>
      <c r="H28" s="7">
        <f>'Raw Data'!H10</f>
        <v>18382</v>
      </c>
      <c r="I28" s="47"/>
    </row>
    <row r="30" spans="2:13" ht="16" thickBot="1"/>
    <row r="31" spans="2:13" ht="16" thickBot="1">
      <c r="B31" s="221" t="s">
        <v>90</v>
      </c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</row>
    <row r="32" spans="2:13" ht="16" thickBot="1">
      <c r="B32" s="2" t="s">
        <v>1</v>
      </c>
      <c r="C32" s="3">
        <v>2020</v>
      </c>
      <c r="D32" s="3">
        <f>C32+1</f>
        <v>2021</v>
      </c>
      <c r="E32" s="3">
        <f t="shared" ref="E32:H32" si="3">D32+1</f>
        <v>2022</v>
      </c>
      <c r="F32" s="3">
        <f t="shared" si="3"/>
        <v>2023</v>
      </c>
      <c r="G32" s="3">
        <f t="shared" si="3"/>
        <v>2024</v>
      </c>
      <c r="H32" s="3">
        <f t="shared" si="3"/>
        <v>2025</v>
      </c>
      <c r="I32" s="82" t="s">
        <v>91</v>
      </c>
      <c r="J32" s="82" t="s">
        <v>92</v>
      </c>
    </row>
    <row r="33" spans="2:14">
      <c r="B33" s="4" t="s">
        <v>3</v>
      </c>
      <c r="C33" s="80">
        <f>(C6*C15*C24)</f>
        <v>620.16</v>
      </c>
      <c r="D33" s="80">
        <f t="shared" ref="D33:H33" si="4">(D6*D15*D24)</f>
        <v>326.71966800000001</v>
      </c>
      <c r="E33" s="80">
        <f t="shared" si="4"/>
        <v>215.47484399999999</v>
      </c>
      <c r="F33" s="80">
        <f t="shared" si="4"/>
        <v>239.66711999999998</v>
      </c>
      <c r="G33" s="80">
        <f t="shared" si="4"/>
        <v>270.43611525</v>
      </c>
      <c r="H33" s="81">
        <f t="shared" si="4"/>
        <v>211.899798</v>
      </c>
      <c r="I33" s="83">
        <f>H33-C33</f>
        <v>-408.26020199999994</v>
      </c>
      <c r="J33" s="85">
        <f>H33/C24</f>
        <v>6.7299688115352854E-3</v>
      </c>
    </row>
    <row r="34" spans="2:14">
      <c r="B34" s="5" t="s">
        <v>6</v>
      </c>
      <c r="C34" s="80">
        <f t="shared" ref="C34:H37" si="5">(C7*C16*C25)</f>
        <v>143.00000000000003</v>
      </c>
      <c r="D34" s="80">
        <f t="shared" si="5"/>
        <v>158.99999999999997</v>
      </c>
      <c r="E34" s="80">
        <f t="shared" si="5"/>
        <v>116</v>
      </c>
      <c r="F34" s="80">
        <f t="shared" si="5"/>
        <v>45</v>
      </c>
      <c r="G34" s="80">
        <f t="shared" si="5"/>
        <v>66.000000000000014</v>
      </c>
      <c r="H34" s="81">
        <f t="shared" si="5"/>
        <v>62</v>
      </c>
      <c r="I34" s="83">
        <f t="shared" ref="I34:I37" si="6">H34-C34</f>
        <v>-81.000000000000028</v>
      </c>
      <c r="J34" s="85">
        <f t="shared" ref="J34:J37" si="7">H34/C25</f>
        <v>1.1002661934338954E-2</v>
      </c>
    </row>
    <row r="35" spans="2:14">
      <c r="B35" s="4" t="s">
        <v>4</v>
      </c>
      <c r="C35" s="80">
        <f t="shared" si="5"/>
        <v>419.61040000000003</v>
      </c>
      <c r="D35" s="80">
        <f t="shared" si="5"/>
        <v>312.14920000000006</v>
      </c>
      <c r="E35" s="80">
        <f t="shared" si="5"/>
        <v>205.1816</v>
      </c>
      <c r="F35" s="80">
        <f t="shared" si="5"/>
        <v>337.79790000000003</v>
      </c>
      <c r="G35" s="80">
        <f t="shared" si="5"/>
        <v>278.05629999999996</v>
      </c>
      <c r="H35" s="81">
        <f t="shared" si="5"/>
        <v>160.35</v>
      </c>
      <c r="I35" s="83">
        <f t="shared" si="6"/>
        <v>-259.2604</v>
      </c>
      <c r="J35" s="85">
        <f t="shared" si="7"/>
        <v>1.7429347826086957E-2</v>
      </c>
    </row>
    <row r="36" spans="2:14">
      <c r="B36" s="14" t="s">
        <v>80</v>
      </c>
      <c r="C36" s="80">
        <f t="shared" si="5"/>
        <v>436.209</v>
      </c>
      <c r="D36" s="80">
        <f t="shared" si="5"/>
        <v>485.22629999999998</v>
      </c>
      <c r="E36" s="80">
        <f t="shared" si="5"/>
        <v>277.83540000000005</v>
      </c>
      <c r="F36" s="80">
        <f t="shared" si="5"/>
        <v>196.94399999999999</v>
      </c>
      <c r="G36" s="80">
        <f t="shared" si="5"/>
        <v>181.84739999999999</v>
      </c>
      <c r="H36" s="81">
        <f t="shared" si="5"/>
        <v>119.58930000000001</v>
      </c>
      <c r="I36" s="83">
        <f t="shared" si="6"/>
        <v>-316.61969999999997</v>
      </c>
      <c r="J36" s="85">
        <f t="shared" si="7"/>
        <v>6.5668716709680964E-3</v>
      </c>
    </row>
    <row r="37" spans="2:14">
      <c r="B37" s="46" t="s">
        <v>81</v>
      </c>
      <c r="C37" s="80">
        <f t="shared" si="5"/>
        <v>58.7136</v>
      </c>
      <c r="D37" s="80">
        <f t="shared" si="5"/>
        <v>75.480691839999992</v>
      </c>
      <c r="E37" s="80">
        <f t="shared" si="5"/>
        <v>117.63710279999999</v>
      </c>
      <c r="F37" s="80">
        <f t="shared" si="5"/>
        <v>88.284281250000006</v>
      </c>
      <c r="G37" s="80">
        <f t="shared" si="5"/>
        <v>137.70404175999997</v>
      </c>
      <c r="H37" s="81">
        <f t="shared" si="5"/>
        <v>302.73683440000002</v>
      </c>
      <c r="I37" s="83">
        <f t="shared" si="6"/>
        <v>244.02323440000004</v>
      </c>
      <c r="J37" s="85">
        <f t="shared" si="7"/>
        <v>3.7984546348808032E-2</v>
      </c>
    </row>
    <row r="38" spans="2:14" ht="16" thickBot="1">
      <c r="B38" s="6" t="s">
        <v>98</v>
      </c>
      <c r="C38" s="90">
        <f>SUM(C33:C37)</f>
        <v>1677.693</v>
      </c>
      <c r="D38" s="90">
        <f t="shared" ref="D38:H38" si="8">SUM(D33:D37)</f>
        <v>1358.57585984</v>
      </c>
      <c r="E38" s="90">
        <f t="shared" si="8"/>
        <v>932.12894679999999</v>
      </c>
      <c r="F38" s="90">
        <f t="shared" si="8"/>
        <v>907.69330124999999</v>
      </c>
      <c r="G38" s="90">
        <f t="shared" si="8"/>
        <v>934.04385701000001</v>
      </c>
      <c r="H38" s="90">
        <f t="shared" si="8"/>
        <v>856.57593240000006</v>
      </c>
      <c r="I38" s="90"/>
    </row>
    <row r="39" spans="2:14" ht="16" thickBot="1"/>
    <row r="40" spans="2:14" ht="16" thickBot="1">
      <c r="B40" s="221" t="s">
        <v>93</v>
      </c>
      <c r="C40" s="221"/>
      <c r="D40" s="221"/>
      <c r="E40" s="221"/>
      <c r="F40" s="221"/>
      <c r="G40" s="221"/>
      <c r="H40" s="221"/>
      <c r="I40" s="221"/>
      <c r="J40" s="221"/>
      <c r="K40" s="222"/>
      <c r="L40" s="222"/>
      <c r="M40" s="222"/>
    </row>
    <row r="41" spans="2:14" ht="16" thickBot="1">
      <c r="B41" s="2" t="s">
        <v>13</v>
      </c>
      <c r="C41" s="76">
        <v>2020</v>
      </c>
      <c r="D41" s="76">
        <f>C41+1</f>
        <v>2021</v>
      </c>
      <c r="E41" s="76">
        <f t="shared" ref="E41:H41" si="9">D41+1</f>
        <v>2022</v>
      </c>
      <c r="F41" s="76">
        <f t="shared" si="9"/>
        <v>2023</v>
      </c>
      <c r="G41" s="76">
        <f t="shared" si="9"/>
        <v>2024</v>
      </c>
      <c r="H41" s="76">
        <f t="shared" si="9"/>
        <v>2025</v>
      </c>
      <c r="I41" s="77" t="s">
        <v>2</v>
      </c>
      <c r="K41" s="218">
        <v>2025</v>
      </c>
      <c r="L41" s="219" t="s">
        <v>285</v>
      </c>
      <c r="M41" s="219" t="s">
        <v>286</v>
      </c>
      <c r="N41" s="219" t="s">
        <v>287</v>
      </c>
    </row>
    <row r="42" spans="2:14">
      <c r="B42" s="86" t="s">
        <v>94</v>
      </c>
      <c r="C42" s="84">
        <f>'2020'!D30</f>
        <v>2593</v>
      </c>
      <c r="D42" s="84">
        <f>'2021'!D29</f>
        <v>1964</v>
      </c>
      <c r="E42" s="84">
        <f>'2022'!D40</f>
        <v>1696</v>
      </c>
      <c r="F42" s="84">
        <f>'2023'!D40</f>
        <v>1579</v>
      </c>
      <c r="G42" s="84">
        <f>'2024'!D41</f>
        <v>1401</v>
      </c>
      <c r="H42" s="84">
        <f>'2025'!D41</f>
        <v>1191</v>
      </c>
      <c r="I42" s="84"/>
      <c r="K42" s="216" t="s">
        <v>288</v>
      </c>
      <c r="L42" s="216" t="s">
        <v>289</v>
      </c>
      <c r="M42" s="216" t="s">
        <v>303</v>
      </c>
      <c r="N42" s="216">
        <v>856.57600000000002</v>
      </c>
    </row>
    <row r="43" spans="2:14">
      <c r="B43" s="87" t="s">
        <v>95</v>
      </c>
      <c r="C43" s="91">
        <f>C38</f>
        <v>1677.693</v>
      </c>
      <c r="D43" s="91">
        <f t="shared" ref="D43:H43" si="10">D38</f>
        <v>1358.57585984</v>
      </c>
      <c r="E43" s="91">
        <f t="shared" si="10"/>
        <v>932.12894679999999</v>
      </c>
      <c r="F43" s="91">
        <f t="shared" si="10"/>
        <v>907.69330124999999</v>
      </c>
      <c r="G43" s="91">
        <f t="shared" si="10"/>
        <v>934.04385701000001</v>
      </c>
      <c r="H43" s="91">
        <f t="shared" si="10"/>
        <v>856.57593240000006</v>
      </c>
      <c r="I43" s="84"/>
      <c r="K43" s="216" t="s">
        <v>290</v>
      </c>
      <c r="L43" s="216" t="s">
        <v>291</v>
      </c>
      <c r="M43" s="216" t="s">
        <v>292</v>
      </c>
      <c r="N43" s="217">
        <v>1019.268</v>
      </c>
    </row>
    <row r="44" spans="2:14">
      <c r="B44" s="88" t="s">
        <v>96</v>
      </c>
      <c r="C44" s="91">
        <f>C42-C43</f>
        <v>915.30700000000002</v>
      </c>
      <c r="D44" s="91">
        <f t="shared" ref="D44:H44" si="11">D42-D43</f>
        <v>605.42414015999998</v>
      </c>
      <c r="E44" s="91">
        <f t="shared" si="11"/>
        <v>763.87105320000001</v>
      </c>
      <c r="F44" s="91">
        <f t="shared" si="11"/>
        <v>671.30669875000001</v>
      </c>
      <c r="G44" s="91">
        <f t="shared" si="11"/>
        <v>466.95614298999999</v>
      </c>
      <c r="H44" s="91">
        <f t="shared" si="11"/>
        <v>334.42406759999994</v>
      </c>
      <c r="I44" s="84"/>
      <c r="K44" s="216" t="s">
        <v>293</v>
      </c>
      <c r="L44" s="216" t="s">
        <v>294</v>
      </c>
      <c r="M44" s="216" t="s">
        <v>295</v>
      </c>
      <c r="N44" s="216">
        <v>294</v>
      </c>
    </row>
    <row r="45" spans="2:14">
      <c r="B45" s="89" t="s">
        <v>97</v>
      </c>
      <c r="C45" s="85">
        <f>C42/C43</f>
        <v>1.5455747863286071</v>
      </c>
      <c r="D45" s="85">
        <f t="shared" ref="D45:H45" si="12">D42/D43</f>
        <v>1.4456314572167512</v>
      </c>
      <c r="E45" s="85">
        <f t="shared" si="12"/>
        <v>1.8194907537442866</v>
      </c>
      <c r="F45" s="85">
        <f t="shared" si="12"/>
        <v>1.7395743670527613</v>
      </c>
      <c r="G45" s="85">
        <f t="shared" si="12"/>
        <v>1.4999295691369241</v>
      </c>
      <c r="H45" s="85">
        <f t="shared" si="12"/>
        <v>1.3904196405133551</v>
      </c>
      <c r="I45" s="84"/>
      <c r="K45" s="216" t="s">
        <v>296</v>
      </c>
      <c r="L45" s="216" t="s">
        <v>297</v>
      </c>
      <c r="M45" s="216" t="s">
        <v>298</v>
      </c>
      <c r="N45" s="220" t="s">
        <v>299</v>
      </c>
    </row>
    <row r="46" spans="2:14">
      <c r="K46" s="216" t="s">
        <v>300</v>
      </c>
      <c r="L46" s="216" t="s">
        <v>301</v>
      </c>
      <c r="M46" s="216" t="s">
        <v>302</v>
      </c>
      <c r="N46" s="217">
        <v>1191</v>
      </c>
    </row>
  </sheetData>
  <mergeCells count="6">
    <mergeCell ref="B40:M40"/>
    <mergeCell ref="B1:M1"/>
    <mergeCell ref="B4:M4"/>
    <mergeCell ref="B13:M13"/>
    <mergeCell ref="B22:M22"/>
    <mergeCell ref="B31:M3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2B30-8E3D-B14E-8251-3529C8FD63CB}">
  <dimension ref="B1:U37"/>
  <sheetViews>
    <sheetView tabSelected="1" topLeftCell="A4" workbookViewId="0">
      <selection activeCell="D24" sqref="D24"/>
    </sheetView>
  </sheetViews>
  <sheetFormatPr baseColWidth="10" defaultRowHeight="15"/>
  <cols>
    <col min="1" max="1" width="3.1640625" style="1" customWidth="1"/>
    <col min="2" max="2" width="24.5" style="1" customWidth="1"/>
    <col min="3" max="3" width="10.83203125" style="1"/>
    <col min="4" max="4" width="17.33203125" style="1" customWidth="1"/>
    <col min="5" max="5" width="19.6640625" style="1" customWidth="1"/>
    <col min="6" max="12" width="10.83203125" style="1"/>
    <col min="13" max="13" width="16.5" style="1" customWidth="1"/>
    <col min="14" max="14" width="19.83203125" style="1" customWidth="1"/>
    <col min="15" max="16384" width="10.83203125" style="1"/>
  </cols>
  <sheetData>
    <row r="1" spans="2:21" ht="39" customHeight="1" thickBot="1">
      <c r="B1" s="228" t="s">
        <v>100</v>
      </c>
      <c r="C1" s="228"/>
      <c r="D1" s="228"/>
      <c r="E1" s="228"/>
      <c r="F1" s="228"/>
      <c r="G1" s="228"/>
      <c r="H1" s="228"/>
      <c r="I1" s="228"/>
      <c r="J1" s="228"/>
      <c r="K1" s="228"/>
      <c r="M1" t="s">
        <v>107</v>
      </c>
      <c r="N1"/>
      <c r="O1"/>
      <c r="P1"/>
      <c r="Q1"/>
      <c r="R1"/>
      <c r="S1"/>
      <c r="T1"/>
      <c r="U1"/>
    </row>
    <row r="2" spans="2:21" ht="16" thickBot="1">
      <c r="M2"/>
      <c r="N2"/>
      <c r="O2"/>
      <c r="P2"/>
      <c r="Q2"/>
      <c r="R2"/>
      <c r="S2"/>
      <c r="T2"/>
      <c r="U2"/>
    </row>
    <row r="3" spans="2:21" ht="16" thickBot="1">
      <c r="B3" s="221" t="s">
        <v>101</v>
      </c>
      <c r="C3" s="221"/>
      <c r="D3" s="221"/>
      <c r="E3" s="221"/>
      <c r="F3" s="221"/>
      <c r="G3" s="221"/>
      <c r="H3" s="221"/>
      <c r="I3" s="221"/>
      <c r="J3" s="221"/>
      <c r="K3" s="221"/>
      <c r="M3" s="99" t="s">
        <v>108</v>
      </c>
      <c r="N3" s="99"/>
      <c r="O3"/>
      <c r="P3"/>
      <c r="Q3"/>
      <c r="R3"/>
      <c r="S3"/>
      <c r="T3"/>
      <c r="U3"/>
    </row>
    <row r="4" spans="2:21" ht="27" thickBot="1">
      <c r="B4" s="92" t="s">
        <v>102</v>
      </c>
      <c r="C4" s="92" t="s">
        <v>103</v>
      </c>
      <c r="D4" s="92" t="s">
        <v>104</v>
      </c>
      <c r="E4" s="92" t="s">
        <v>275</v>
      </c>
      <c r="F4" s="92" t="s">
        <v>105</v>
      </c>
      <c r="G4" s="92" t="s">
        <v>106</v>
      </c>
      <c r="M4" t="s">
        <v>109</v>
      </c>
      <c r="N4">
        <v>0.99974778792630403</v>
      </c>
      <c r="O4"/>
      <c r="P4"/>
      <c r="Q4"/>
      <c r="R4"/>
      <c r="S4"/>
      <c r="T4"/>
      <c r="U4"/>
    </row>
    <row r="5" spans="2:21">
      <c r="B5" s="94">
        <v>2020</v>
      </c>
      <c r="C5" s="95">
        <f>'Raw Data'!C31</f>
        <v>6.0991420926319276E-2</v>
      </c>
      <c r="D5" s="186">
        <v>5.74E-2</v>
      </c>
      <c r="E5" s="186">
        <f>('Macro(5y Avg)'!C48-'Macro(5y Avg)'!C47)/'Macro(5y Avg)'!C47</f>
        <v>-2.4522798474284718E-2</v>
      </c>
      <c r="F5" s="95">
        <v>0</v>
      </c>
      <c r="G5" s="186">
        <v>3.0999999999999999E-3</v>
      </c>
      <c r="H5"/>
      <c r="M5" t="s">
        <v>110</v>
      </c>
      <c r="N5">
        <v>0.99949563946353825</v>
      </c>
      <c r="O5"/>
      <c r="P5"/>
      <c r="Q5"/>
      <c r="R5"/>
      <c r="S5"/>
      <c r="T5"/>
      <c r="U5"/>
    </row>
    <row r="6" spans="2:21">
      <c r="B6" s="196">
        <v>2021</v>
      </c>
      <c r="C6" s="197">
        <f>'Raw Data'!D31</f>
        <v>4.3317376471882912E-2</v>
      </c>
      <c r="D6" s="198">
        <v>6.1166999999999999E-2</v>
      </c>
      <c r="E6" s="199">
        <f>('Macro(5y Avg)'!C49-'Macro(5y Avg)'!C48)/'Macro(5y Avg)'!C48</f>
        <v>0.13762714463394271</v>
      </c>
      <c r="F6" s="197">
        <v>0</v>
      </c>
      <c r="G6" s="198">
        <v>8.2699999999999996E-2</v>
      </c>
      <c r="M6" t="s">
        <v>111</v>
      </c>
      <c r="N6">
        <v>0.99747819731769105</v>
      </c>
      <c r="O6"/>
      <c r="P6"/>
      <c r="Q6"/>
      <c r="R6"/>
      <c r="S6"/>
      <c r="T6"/>
      <c r="U6"/>
    </row>
    <row r="7" spans="2:21">
      <c r="B7" s="94">
        <v>2022</v>
      </c>
      <c r="C7" s="95">
        <f>'Raw Data'!E31</f>
        <v>2.8408203633335068E-2</v>
      </c>
      <c r="D7" s="186">
        <v>4.6800000000000001E-2</v>
      </c>
      <c r="E7" s="186">
        <f>('Macro(5y Avg)'!C50-'Macro(5y Avg)'!C49)/'Macro(5y Avg)'!C49</f>
        <v>3.2757607185781197E-2</v>
      </c>
      <c r="F7" s="95">
        <v>0.02</v>
      </c>
      <c r="G7" s="186">
        <v>0.1231</v>
      </c>
      <c r="M7" t="s">
        <v>112</v>
      </c>
      <c r="N7">
        <v>7.7787767200746373E-4</v>
      </c>
      <c r="O7"/>
      <c r="P7"/>
      <c r="Q7"/>
      <c r="R7"/>
      <c r="S7"/>
      <c r="T7"/>
      <c r="U7"/>
    </row>
    <row r="8" spans="2:21" ht="16" thickBot="1">
      <c r="B8" s="196">
        <v>2023</v>
      </c>
      <c r="C8" s="197">
        <f>'Raw Data'!F31</f>
        <v>2.5475810485695909E-2</v>
      </c>
      <c r="D8" s="198">
        <v>4.2799999999999998E-2</v>
      </c>
      <c r="E8" s="199">
        <f>('Macro(5y Avg)'!C51-'Macro(5y Avg)'!C50)/'Macro(5y Avg)'!C50</f>
        <v>5.6541663041271499E-2</v>
      </c>
      <c r="F8" s="197">
        <v>4.4999999999999998E-2</v>
      </c>
      <c r="G8" s="198">
        <v>3.0700000000000002E-2</v>
      </c>
      <c r="M8" s="97" t="s">
        <v>113</v>
      </c>
      <c r="N8" s="97">
        <v>6</v>
      </c>
      <c r="O8"/>
      <c r="P8"/>
      <c r="Q8"/>
      <c r="R8"/>
      <c r="S8"/>
      <c r="T8"/>
      <c r="U8"/>
    </row>
    <row r="9" spans="2:21">
      <c r="B9" s="94">
        <v>2024</v>
      </c>
      <c r="C9" s="95">
        <f>'Raw Data'!G31</f>
        <v>2.4503192158978507E-2</v>
      </c>
      <c r="D9" s="186">
        <v>4.267E-2</v>
      </c>
      <c r="E9" s="186">
        <f>('Macro(5y Avg)'!C52-'Macro(5y Avg)'!C51)/'Macro(5y Avg)'!C51</f>
        <v>4.7854015400030196E-2</v>
      </c>
      <c r="F9" s="95">
        <v>0.04</v>
      </c>
      <c r="G9" s="186">
        <v>8.5199999999999998E-2</v>
      </c>
      <c r="M9"/>
      <c r="N9"/>
      <c r="O9"/>
      <c r="P9"/>
      <c r="Q9"/>
      <c r="R9"/>
      <c r="S9"/>
      <c r="T9"/>
      <c r="U9"/>
    </row>
    <row r="10" spans="2:21" ht="16" thickBot="1">
      <c r="B10" s="200">
        <v>2025</v>
      </c>
      <c r="C10" s="201">
        <f>'Raw Data'!H31</f>
        <v>2.0199341421909878E-2</v>
      </c>
      <c r="D10" s="202">
        <v>4.4299999999999999E-2</v>
      </c>
      <c r="E10" s="203">
        <f>('Macro(5y Avg)'!C53-'Macro(5y Avg)'!C52)/'Macro(5y Avg)'!C52</f>
        <v>2.400000000000008E-2</v>
      </c>
      <c r="F10" s="201">
        <v>2.5000000000000001E-2</v>
      </c>
      <c r="G10" s="202">
        <v>7.5499999999999998E-2</v>
      </c>
      <c r="M10" t="s">
        <v>114</v>
      </c>
      <c r="N10"/>
      <c r="O10"/>
      <c r="P10"/>
      <c r="Q10"/>
      <c r="R10"/>
      <c r="S10"/>
      <c r="T10"/>
      <c r="U10"/>
    </row>
    <row r="11" spans="2:21">
      <c r="M11" s="98"/>
      <c r="N11" s="98" t="s">
        <v>119</v>
      </c>
      <c r="O11" s="98" t="s">
        <v>120</v>
      </c>
      <c r="P11" s="98" t="s">
        <v>121</v>
      </c>
      <c r="Q11" s="98" t="s">
        <v>122</v>
      </c>
      <c r="R11" s="98" t="s">
        <v>123</v>
      </c>
      <c r="S11"/>
      <c r="T11"/>
      <c r="U11"/>
    </row>
    <row r="12" spans="2:21" ht="16" thickBot="1">
      <c r="M12" t="s">
        <v>115</v>
      </c>
      <c r="N12">
        <v>4</v>
      </c>
      <c r="O12">
        <v>1.1991193670328804E-3</v>
      </c>
      <c r="P12">
        <v>2.9977984175822011E-4</v>
      </c>
      <c r="Q12">
        <v>495.42716331220129</v>
      </c>
      <c r="R12">
        <v>3.3681295547936863E-2</v>
      </c>
      <c r="S12"/>
      <c r="T12"/>
      <c r="U12"/>
    </row>
    <row r="13" spans="2:21" ht="16" thickBot="1">
      <c r="B13" s="221" t="s">
        <v>129</v>
      </c>
      <c r="C13" s="221"/>
      <c r="D13" s="221"/>
      <c r="E13" s="221"/>
      <c r="F13" s="221"/>
      <c r="G13" s="221"/>
      <c r="H13" s="221"/>
      <c r="I13" s="221"/>
      <c r="J13" s="221"/>
      <c r="K13" s="221"/>
      <c r="M13" t="s">
        <v>116</v>
      </c>
      <c r="N13">
        <v>1</v>
      </c>
      <c r="O13">
        <v>6.0509367260775139E-7</v>
      </c>
      <c r="P13">
        <v>6.0509367260775139E-7</v>
      </c>
      <c r="Q13"/>
      <c r="R13"/>
      <c r="S13"/>
      <c r="T13"/>
      <c r="U13"/>
    </row>
    <row r="14" spans="2:21" ht="16" thickBot="1">
      <c r="B14" s="3" t="s">
        <v>102</v>
      </c>
      <c r="C14" s="3" t="s">
        <v>130</v>
      </c>
      <c r="D14" s="3" t="s">
        <v>131</v>
      </c>
      <c r="E14" s="3" t="s">
        <v>132</v>
      </c>
      <c r="F14" s="3" t="s">
        <v>133</v>
      </c>
      <c r="M14" s="97" t="s">
        <v>117</v>
      </c>
      <c r="N14" s="97">
        <v>5</v>
      </c>
      <c r="O14" s="97">
        <v>1.1997244607054882E-3</v>
      </c>
      <c r="P14" s="97"/>
      <c r="Q14" s="97"/>
      <c r="R14" s="97"/>
      <c r="S14"/>
      <c r="T14"/>
      <c r="U14"/>
    </row>
    <row r="15" spans="2:21" ht="16" thickBot="1">
      <c r="B15" s="94">
        <v>2020</v>
      </c>
      <c r="C15" s="95">
        <f>'Raw Data'!C31</f>
        <v>6.0991420926319276E-2</v>
      </c>
      <c r="D15" s="95">
        <f t="shared" ref="D15:D20" si="0">$N$17+$N$18*D5+$N$19*E5+$N$20*F5+$N$21*G5</f>
        <v>6.1026920961990382E-2</v>
      </c>
      <c r="E15" s="100">
        <f>C15-D15</f>
        <v>-3.5500035671105767E-5</v>
      </c>
      <c r="F15" s="101" t="s">
        <v>134</v>
      </c>
      <c r="M15"/>
      <c r="N15"/>
      <c r="O15"/>
      <c r="P15"/>
      <c r="Q15"/>
      <c r="R15"/>
      <c r="S15"/>
      <c r="T15"/>
      <c r="U15"/>
    </row>
    <row r="16" spans="2:21">
      <c r="B16" s="93">
        <v>2021</v>
      </c>
      <c r="C16" s="95">
        <f>'Raw Data'!D31</f>
        <v>4.3317376471882912E-2</v>
      </c>
      <c r="D16" s="95">
        <f t="shared" si="0"/>
        <v>4.3365810783046632E-2</v>
      </c>
      <c r="E16" s="100">
        <f t="shared" ref="E16:E20" si="1">C16-D16</f>
        <v>-4.8434311163719768E-5</v>
      </c>
      <c r="F16" s="101" t="s">
        <v>134</v>
      </c>
      <c r="M16" s="98"/>
      <c r="N16" s="98" t="s">
        <v>124</v>
      </c>
      <c r="O16" s="98" t="s">
        <v>112</v>
      </c>
      <c r="P16" s="98" t="s">
        <v>125</v>
      </c>
      <c r="Q16" s="98" t="s">
        <v>126</v>
      </c>
      <c r="R16" s="98" t="s">
        <v>127</v>
      </c>
      <c r="S16" s="98" t="s">
        <v>128</v>
      </c>
      <c r="T16" s="98" t="s">
        <v>127</v>
      </c>
      <c r="U16" s="98" t="s">
        <v>128</v>
      </c>
    </row>
    <row r="17" spans="2:21">
      <c r="B17" s="94">
        <v>2022</v>
      </c>
      <c r="C17" s="95">
        <f>'Raw Data'!E31</f>
        <v>2.8408203633335068E-2</v>
      </c>
      <c r="D17" s="95">
        <f t="shared" si="0"/>
        <v>2.7998760002734588E-2</v>
      </c>
      <c r="E17" s="100">
        <f t="shared" si="1"/>
        <v>4.0944363060048047E-4</v>
      </c>
      <c r="F17" s="101" t="s">
        <v>134</v>
      </c>
      <c r="M17" t="s">
        <v>118</v>
      </c>
      <c r="N17">
        <v>-0.22443467799062677</v>
      </c>
      <c r="O17">
        <v>1.8235542020238096E-2</v>
      </c>
      <c r="P17">
        <v>-12.307540831061976</v>
      </c>
      <c r="Q17">
        <v>5.1612614951177395E-2</v>
      </c>
      <c r="R17">
        <v>-0.456139208372904</v>
      </c>
      <c r="S17">
        <v>7.2698523916504276E-3</v>
      </c>
      <c r="T17">
        <v>-0.456139208372904</v>
      </c>
      <c r="U17">
        <v>7.2698523916504276E-3</v>
      </c>
    </row>
    <row r="18" spans="2:21">
      <c r="B18" s="93">
        <v>2023</v>
      </c>
      <c r="C18" s="95">
        <f>'Raw Data'!F31</f>
        <v>2.5475810485695909E-2</v>
      </c>
      <c r="D18" s="95">
        <f t="shared" si="0"/>
        <v>2.5100326857477973E-2</v>
      </c>
      <c r="E18" s="100">
        <f t="shared" si="1"/>
        <v>3.7548362821793538E-4</v>
      </c>
      <c r="F18" s="101" t="s">
        <v>134</v>
      </c>
      <c r="M18" t="s">
        <v>104</v>
      </c>
      <c r="N18">
        <v>4.8577888542177874</v>
      </c>
      <c r="O18">
        <v>0.31263176191266295</v>
      </c>
      <c r="P18">
        <v>15.538372763209079</v>
      </c>
      <c r="Q18">
        <v>4.0914389359199825E-2</v>
      </c>
      <c r="R18">
        <v>0.88542568035849678</v>
      </c>
      <c r="S18">
        <v>8.8301520280770784</v>
      </c>
      <c r="T18">
        <v>0.88542568035849678</v>
      </c>
      <c r="U18">
        <v>8.8301520280770784</v>
      </c>
    </row>
    <row r="19" spans="2:21">
      <c r="B19" s="94">
        <v>2024</v>
      </c>
      <c r="C19" s="95">
        <f>'Raw Data'!G31</f>
        <v>2.4503192158978507E-2</v>
      </c>
      <c r="D19" s="95">
        <f t="shared" si="0"/>
        <v>2.5007246363640045E-2</v>
      </c>
      <c r="E19" s="100">
        <f t="shared" si="1"/>
        <v>-5.0405420466153802E-4</v>
      </c>
      <c r="F19" s="101" t="s">
        <v>134</v>
      </c>
      <c r="M19" t="s">
        <v>275</v>
      </c>
      <c r="N19">
        <v>-0.26023312258179576</v>
      </c>
      <c r="O19">
        <v>1.7662253267553291E-2</v>
      </c>
      <c r="P19">
        <v>-14.733857489172173</v>
      </c>
      <c r="Q19">
        <v>4.3141787211932299E-2</v>
      </c>
      <c r="R19">
        <v>-0.484653328699576</v>
      </c>
      <c r="S19">
        <v>-3.5812916464015521E-2</v>
      </c>
      <c r="T19">
        <v>-0.484653328699576</v>
      </c>
      <c r="U19">
        <v>-3.5812916464015521E-2</v>
      </c>
    </row>
    <row r="20" spans="2:21">
      <c r="B20" s="96">
        <v>2025</v>
      </c>
      <c r="C20" s="95">
        <f>'Raw Data'!H31</f>
        <v>2.0199341421909878E-2</v>
      </c>
      <c r="D20" s="95">
        <f t="shared" si="0"/>
        <v>2.0396280129738518E-2</v>
      </c>
      <c r="E20" s="100">
        <f t="shared" si="1"/>
        <v>-1.9693870782864012E-4</v>
      </c>
      <c r="F20" s="101" t="s">
        <v>134</v>
      </c>
      <c r="M20" t="s">
        <v>105</v>
      </c>
      <c r="N20">
        <v>1.1984536975582643</v>
      </c>
      <c r="O20">
        <v>0.1179007374178988</v>
      </c>
      <c r="P20">
        <v>10.164938097972609</v>
      </c>
      <c r="Q20">
        <v>6.2428108438960392E-2</v>
      </c>
      <c r="R20">
        <v>-0.29961721060669833</v>
      </c>
      <c r="S20">
        <v>2.6965246057232268</v>
      </c>
      <c r="T20">
        <v>-0.29961721060669833</v>
      </c>
      <c r="U20">
        <v>2.6965246057232268</v>
      </c>
    </row>
    <row r="21" spans="2:21" ht="16" thickBot="1">
      <c r="M21" s="97" t="s">
        <v>106</v>
      </c>
      <c r="N21" s="97">
        <v>7.8346548099653468E-2</v>
      </c>
      <c r="O21" s="97">
        <v>1.8211444413780708E-2</v>
      </c>
      <c r="P21" s="97">
        <v>4.3020502009367343</v>
      </c>
      <c r="Q21" s="97">
        <v>0.14539854114952083</v>
      </c>
      <c r="R21" s="97">
        <v>-0.15305179316132703</v>
      </c>
      <c r="S21" s="97">
        <v>0.30974488936063393</v>
      </c>
      <c r="T21" s="97">
        <v>-0.15305179316132703</v>
      </c>
      <c r="U21" s="97">
        <v>0.30974488936063393</v>
      </c>
    </row>
    <row r="22" spans="2:21" ht="16" thickBot="1">
      <c r="M22"/>
      <c r="N22"/>
      <c r="O22"/>
      <c r="P22"/>
      <c r="Q22"/>
      <c r="R22"/>
      <c r="S22"/>
      <c r="T22"/>
      <c r="U22"/>
    </row>
    <row r="23" spans="2:21" ht="16" thickBot="1">
      <c r="B23" s="221" t="s">
        <v>135</v>
      </c>
      <c r="C23" s="222"/>
      <c r="D23" s="222"/>
      <c r="E23" s="222"/>
      <c r="F23" s="222"/>
      <c r="G23" s="221"/>
      <c r="H23" s="221"/>
      <c r="I23" s="221"/>
      <c r="J23" s="221"/>
      <c r="K23" s="221"/>
      <c r="M23"/>
      <c r="N23"/>
      <c r="O23"/>
      <c r="P23"/>
      <c r="Q23"/>
      <c r="R23"/>
      <c r="S23"/>
      <c r="T23"/>
      <c r="U23"/>
    </row>
    <row r="24" spans="2:21" ht="28" customHeight="1" thickBot="1">
      <c r="B24" s="205" t="s">
        <v>136</v>
      </c>
      <c r="C24" s="125" t="s">
        <v>281</v>
      </c>
      <c r="D24" s="125" t="s">
        <v>193</v>
      </c>
      <c r="E24" s="125" t="s">
        <v>194</v>
      </c>
      <c r="F24" s="125" t="s">
        <v>195</v>
      </c>
      <c r="M24"/>
      <c r="N24"/>
      <c r="O24"/>
      <c r="P24"/>
      <c r="Q24"/>
      <c r="R24"/>
      <c r="S24"/>
      <c r="T24"/>
      <c r="U24"/>
    </row>
    <row r="25" spans="2:21">
      <c r="B25" s="4" t="s">
        <v>137</v>
      </c>
      <c r="C25" s="206">
        <f>'Macro(5y Avg)'!C9/100</f>
        <v>0.05</v>
      </c>
      <c r="D25" s="206">
        <f>'Macro(5y Avg)'!D9/100</f>
        <v>7.2999999999999995E-2</v>
      </c>
      <c r="E25" s="206">
        <f>'Macro(5y Avg)'!E9/100</f>
        <v>8.6999999999999994E-2</v>
      </c>
      <c r="F25" s="206">
        <f>'Macro(5y Avg)'!F9/100</f>
        <v>4.4000000000000004E-2</v>
      </c>
      <c r="M25" s="1" t="s">
        <v>277</v>
      </c>
    </row>
    <row r="26" spans="2:21">
      <c r="B26" s="4" t="s">
        <v>138</v>
      </c>
      <c r="C26" s="207">
        <f>'Macro(5y Avg)'!C7/100</f>
        <v>0.03</v>
      </c>
      <c r="D26" s="207">
        <f>'Macro(5y Avg)'!D7/100</f>
        <v>2.4E-2</v>
      </c>
      <c r="E26" s="207">
        <f>'Macro(5y Avg)'!E7/100</f>
        <v>9.0000000000000011E-3</v>
      </c>
      <c r="F26" s="207">
        <f>'Macro(5y Avg)'!F7/100</f>
        <v>3.7999999999999999E-2</v>
      </c>
    </row>
    <row r="27" spans="2:21">
      <c r="B27" s="4" t="s">
        <v>139</v>
      </c>
      <c r="C27" s="207">
        <v>2.5000000000000001E-2</v>
      </c>
      <c r="D27" s="207">
        <v>1.4999999999999999E-2</v>
      </c>
      <c r="E27" s="208">
        <v>0.01</v>
      </c>
      <c r="F27" s="210">
        <v>0.04</v>
      </c>
      <c r="M27" s="1" t="s">
        <v>278</v>
      </c>
      <c r="N27" s="1" t="s">
        <v>279</v>
      </c>
      <c r="O27" s="1" t="s">
        <v>280</v>
      </c>
    </row>
    <row r="28" spans="2:21">
      <c r="B28" s="4" t="s">
        <v>140</v>
      </c>
      <c r="C28" s="207">
        <f>'Macro(5y Avg)'!C8/100</f>
        <v>2.1000000000000001E-2</v>
      </c>
      <c r="D28" s="207">
        <f>'Macro(5y Avg)'!D8/100</f>
        <v>1E-3</v>
      </c>
      <c r="E28" s="207">
        <f>'Macro(5y Avg)'!E8/100</f>
        <v>-4.0999999999999995E-2</v>
      </c>
      <c r="F28" s="207">
        <f>'Macro(5y Avg)'!F8/100</f>
        <v>4.2000000000000003E-2</v>
      </c>
      <c r="M28" s="1">
        <v>1</v>
      </c>
      <c r="N28" s="1">
        <v>6.1026920961990382E-2</v>
      </c>
      <c r="O28" s="1">
        <v>-3.5500035671105767E-5</v>
      </c>
    </row>
    <row r="29" spans="2:21">
      <c r="B29" s="110" t="s">
        <v>141</v>
      </c>
      <c r="C29" s="209">
        <f>$N$17+$N$18*C25+$N$19*C26+$N$20*C27+$N$21*C28</f>
        <v>4.2254390991858078E-2</v>
      </c>
      <c r="D29" s="209">
        <f t="shared" ref="D29:F29" si="2">$N$17+$N$18*D25+$N$19*D26+$N$20*D27+$N$21*D28</f>
        <v>0.14199346543678218</v>
      </c>
      <c r="E29" s="209">
        <f t="shared" si="2"/>
        <v>0.20462318272658142</v>
      </c>
      <c r="F29" s="211">
        <f t="shared" si="2"/>
        <v>3.0647875859363675E-2</v>
      </c>
      <c r="M29" s="1">
        <v>2</v>
      </c>
      <c r="N29" s="1">
        <v>4.3365810783046632E-2</v>
      </c>
      <c r="O29" s="1">
        <v>-4.8434311163719768E-5</v>
      </c>
    </row>
    <row r="30" spans="2:21">
      <c r="B30"/>
      <c r="C30"/>
      <c r="D30"/>
      <c r="E30"/>
      <c r="M30" s="1">
        <v>3</v>
      </c>
      <c r="N30" s="1">
        <v>2.7998760002734588E-2</v>
      </c>
      <c r="O30" s="1">
        <v>4.0944363060048047E-4</v>
      </c>
    </row>
    <row r="31" spans="2:21">
      <c r="B31" s="102"/>
      <c r="C31" s="103"/>
      <c r="D31" s="103"/>
      <c r="E31" s="104"/>
      <c r="F31" s="105"/>
      <c r="M31" s="1">
        <v>4</v>
      </c>
      <c r="N31" s="1">
        <v>2.5100326857477973E-2</v>
      </c>
      <c r="O31" s="1">
        <v>3.7548362821793538E-4</v>
      </c>
    </row>
    <row r="32" spans="2:21">
      <c r="B32" s="106"/>
      <c r="C32" s="107"/>
      <c r="D32" s="107"/>
      <c r="E32" s="104"/>
      <c r="F32" s="105"/>
      <c r="M32" s="1">
        <v>5</v>
      </c>
      <c r="N32" s="1">
        <v>2.5007246363640045E-2</v>
      </c>
      <c r="O32" s="1">
        <v>-5.0405420466153802E-4</v>
      </c>
    </row>
    <row r="33" spans="2:15">
      <c r="B33" s="102"/>
      <c r="C33" s="103"/>
      <c r="D33" s="103"/>
      <c r="E33" s="104"/>
      <c r="F33" s="105"/>
      <c r="M33" s="1">
        <v>6</v>
      </c>
      <c r="N33" s="1">
        <v>2.0396280129738518E-2</v>
      </c>
      <c r="O33" s="1">
        <v>-1.9693870782864012E-4</v>
      </c>
    </row>
    <row r="34" spans="2:15">
      <c r="B34" s="106"/>
      <c r="C34" s="107"/>
      <c r="D34" s="107"/>
      <c r="E34" s="104"/>
      <c r="F34" s="105"/>
    </row>
    <row r="35" spans="2:15">
      <c r="B35" s="102"/>
      <c r="C35" s="103"/>
      <c r="D35" s="103"/>
      <c r="E35" s="104"/>
      <c r="F35" s="105"/>
    </row>
    <row r="36" spans="2:15">
      <c r="B36" s="106"/>
      <c r="C36" s="107"/>
      <c r="D36" s="107"/>
      <c r="E36" s="104"/>
      <c r="F36" s="105"/>
    </row>
    <row r="37" spans="2:15">
      <c r="B37" s="108"/>
      <c r="C37" s="109"/>
      <c r="D37" s="109"/>
      <c r="E37" s="104"/>
      <c r="F37" s="105"/>
    </row>
  </sheetData>
  <mergeCells count="4">
    <mergeCell ref="B1:K1"/>
    <mergeCell ref="B3:K3"/>
    <mergeCell ref="B13:K13"/>
    <mergeCell ref="B23:K23"/>
  </mergeCells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E343052E-11A4-9945-839C-94043A679BF3}">
          <xm:f>'Macro Regression'!1:1048576</xm:f>
        </x15:webExtension>
        <x15:webExtension appRef="{50BF0354-A96E-4C4E-8F29-782B7A26DF2F}">
          <xm:f>'Macro Regression'!$C$4:$C$10</xm:f>
        </x15:webExtension>
        <x15:webExtension appRef="{04189108-C648-DB48-84FD-E2822227A500}">
          <xm:f>'Macro Regression'!$D$4:$G$10</xm:f>
        </x15:webExtension>
        <x15:webExtension appRef="{399E5098-0FF2-A545-800C-139719FFE67D}">
          <xm:f>'Macro Regression'!$M$1:$V$34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DF1C-16C5-564B-B795-8A1D73E5513C}">
  <dimension ref="B2:M34"/>
  <sheetViews>
    <sheetView workbookViewId="0">
      <selection activeCell="C20" sqref="C20:F20"/>
    </sheetView>
  </sheetViews>
  <sheetFormatPr baseColWidth="10" defaultRowHeight="15"/>
  <cols>
    <col min="1" max="1" width="3.6640625" style="1" customWidth="1"/>
    <col min="2" max="2" width="35.33203125" style="1" customWidth="1"/>
    <col min="3" max="6" width="15.83203125" style="1" customWidth="1"/>
    <col min="7" max="7" width="18.1640625" style="1" customWidth="1"/>
    <col min="8" max="8" width="14.6640625" style="1" customWidth="1"/>
    <col min="9" max="11" width="19.33203125" style="1" customWidth="1"/>
    <col min="12" max="12" width="10.83203125" style="1"/>
    <col min="13" max="13" width="19" style="1" customWidth="1"/>
    <col min="14" max="14" width="10.83203125" style="1"/>
    <col min="15" max="15" width="28.1640625" style="1" customWidth="1"/>
    <col min="16" max="16" width="17.83203125" style="1" customWidth="1"/>
    <col min="17" max="16384" width="10.83203125" style="1"/>
  </cols>
  <sheetData>
    <row r="2" spans="2:9">
      <c r="B2" s="127" t="s">
        <v>205</v>
      </c>
    </row>
    <row r="3" spans="2:9" ht="36" customHeight="1" thickBot="1">
      <c r="B3" s="124" t="s">
        <v>1</v>
      </c>
      <c r="C3" s="125" t="s">
        <v>204</v>
      </c>
      <c r="D3" s="126" t="s">
        <v>193</v>
      </c>
      <c r="E3" s="126" t="s">
        <v>194</v>
      </c>
      <c r="F3" s="125" t="s">
        <v>195</v>
      </c>
      <c r="H3" s="231" t="s">
        <v>266</v>
      </c>
      <c r="I3" s="232"/>
    </row>
    <row r="4" spans="2:9">
      <c r="B4" s="4" t="s">
        <v>3</v>
      </c>
      <c r="C4" s="212">
        <f>'Macro Forcast(5y)'!Q6/'Macro Forcast(5y)'!$Q6</f>
        <v>1</v>
      </c>
      <c r="D4" s="212">
        <f>'Macro Forcast(5y)'!R6/'Macro Forcast(5y)'!$Q6</f>
        <v>1.36</v>
      </c>
      <c r="E4" s="212">
        <f>'Macro Forcast(5y)'!S6/'Macro Forcast(5y)'!$Q6</f>
        <v>2.8466666666666667</v>
      </c>
      <c r="F4" s="212">
        <f>'Macro Forcast(5y)'!T6/'Macro Forcast(5y)'!$Q6</f>
        <v>0.9</v>
      </c>
      <c r="H4" s="233"/>
      <c r="I4" s="234"/>
    </row>
    <row r="5" spans="2:9">
      <c r="B5" s="5" t="s">
        <v>6</v>
      </c>
      <c r="C5" s="213">
        <f>'Macro Forcast(5y)'!Q7/'Macro Forcast(5y)'!$Q7</f>
        <v>1</v>
      </c>
      <c r="D5" s="213">
        <f>'Macro Forcast(5y)'!R7/'Macro Forcast(5y)'!$Q7</f>
        <v>1.139344262295082</v>
      </c>
      <c r="E5" s="213">
        <f>'Macro Forcast(5y)'!S7/'Macro Forcast(5y)'!$Q7</f>
        <v>1.3770491803278688</v>
      </c>
      <c r="F5" s="213">
        <f>'Macro Forcast(5y)'!T7/'Macro Forcast(5y)'!$Q7</f>
        <v>0.95901639344262291</v>
      </c>
      <c r="H5" s="233"/>
      <c r="I5" s="234"/>
    </row>
    <row r="6" spans="2:9">
      <c r="B6" s="4" t="s">
        <v>4</v>
      </c>
      <c r="C6" s="213">
        <f>'Macro Forcast(5y)'!Q8/'Macro Forcast(5y)'!$Q8</f>
        <v>1</v>
      </c>
      <c r="D6" s="213">
        <f>'Macro Forcast(5y)'!R8/'Macro Forcast(5y)'!$Q8</f>
        <v>1.2329113924050632</v>
      </c>
      <c r="E6" s="213">
        <f>'Macro Forcast(5y)'!S8/'Macro Forcast(5y)'!$Q8</f>
        <v>1.4835443037974683</v>
      </c>
      <c r="F6" s="213">
        <f>'Macro Forcast(5y)'!T8/'Macro Forcast(5y)'!$Q8</f>
        <v>0.90379746835443042</v>
      </c>
      <c r="H6" s="233"/>
      <c r="I6" s="234"/>
    </row>
    <row r="7" spans="2:9">
      <c r="B7" s="14" t="s">
        <v>80</v>
      </c>
      <c r="C7" s="213">
        <f>'Macro Forcast(5y)'!Q9/'Macro Forcast(5y)'!$Q9</f>
        <v>1</v>
      </c>
      <c r="D7" s="213">
        <f>'Macro Forcast(5y)'!R9/'Macro Forcast(5y)'!$Q9</f>
        <v>1.415929203539823</v>
      </c>
      <c r="E7" s="213">
        <f>'Macro Forcast(5y)'!S9/'Macro Forcast(5y)'!$Q9</f>
        <v>2.0648967551622417</v>
      </c>
      <c r="F7" s="213">
        <f>'Macro Forcast(5y)'!T9/'Macro Forcast(5y)'!$Q9</f>
        <v>0.92330383480825962</v>
      </c>
      <c r="H7" s="233"/>
      <c r="I7" s="234"/>
    </row>
    <row r="8" spans="2:9">
      <c r="B8" s="46" t="s">
        <v>81</v>
      </c>
      <c r="C8" s="213">
        <v>1</v>
      </c>
      <c r="D8" s="213">
        <v>1.415929203539823</v>
      </c>
      <c r="E8" s="213">
        <v>2.0648967551622417</v>
      </c>
      <c r="F8" s="213">
        <v>0.92330383480825962</v>
      </c>
      <c r="H8" s="235"/>
      <c r="I8" s="236"/>
    </row>
    <row r="9" spans="2:9">
      <c r="H9" s="175"/>
      <c r="I9" s="175"/>
    </row>
    <row r="11" spans="2:9" ht="43" thickBot="1">
      <c r="B11" s="124" t="s">
        <v>1</v>
      </c>
      <c r="C11" s="125" t="s">
        <v>207</v>
      </c>
      <c r="D11" s="126" t="s">
        <v>193</v>
      </c>
      <c r="E11" s="126" t="s">
        <v>194</v>
      </c>
      <c r="F11" s="125" t="s">
        <v>195</v>
      </c>
      <c r="G11" t="s">
        <v>211</v>
      </c>
    </row>
    <row r="12" spans="2:9">
      <c r="B12" s="86" t="s">
        <v>3</v>
      </c>
      <c r="C12" s="13">
        <v>1.6500000000000001E-2</v>
      </c>
      <c r="D12" s="85">
        <f>$C12*D4</f>
        <v>2.2440000000000002E-2</v>
      </c>
      <c r="E12" s="85">
        <f t="shared" ref="E12:F12" si="0">$C12*E4</f>
        <v>4.6970000000000005E-2</v>
      </c>
      <c r="F12" s="85">
        <f t="shared" si="0"/>
        <v>1.485E-2</v>
      </c>
    </row>
    <row r="13" spans="2:9">
      <c r="B13" s="87" t="s">
        <v>6</v>
      </c>
      <c r="C13" s="13">
        <v>1.4812528930720568E-2</v>
      </c>
      <c r="D13" s="85">
        <f t="shared" ref="D13:F13" si="1">$C13*D5</f>
        <v>1.6876569847296387E-2</v>
      </c>
      <c r="E13" s="85">
        <f t="shared" si="1"/>
        <v>2.0397580822631604E-2</v>
      </c>
      <c r="F13" s="85">
        <f t="shared" si="1"/>
        <v>1.420545807290415E-2</v>
      </c>
    </row>
    <row r="14" spans="2:9">
      <c r="B14" s="86" t="s">
        <v>4</v>
      </c>
      <c r="C14" s="13">
        <v>3.5734705546026299E-2</v>
      </c>
      <c r="D14" s="85">
        <f t="shared" ref="D14:F14" si="2">$C14*D6</f>
        <v>4.405772557193622E-2</v>
      </c>
      <c r="E14" s="85">
        <f t="shared" si="2"/>
        <v>5.3014018860687115E-2</v>
      </c>
      <c r="F14" s="85">
        <f t="shared" si="2"/>
        <v>3.2296936404889592E-2</v>
      </c>
    </row>
    <row r="15" spans="2:9">
      <c r="B15" s="128" t="s">
        <v>80</v>
      </c>
      <c r="C15" s="13">
        <v>1.6480464168878464E-2</v>
      </c>
      <c r="D15" s="85">
        <f t="shared" ref="D15:F15" si="3">$C15*D7</f>
        <v>2.3335170504606675E-2</v>
      </c>
      <c r="E15" s="85">
        <f t="shared" si="3"/>
        <v>3.4030456985884729E-2</v>
      </c>
      <c r="F15" s="85">
        <f t="shared" si="3"/>
        <v>1.5216475766545603E-2</v>
      </c>
    </row>
    <row r="16" spans="2:9">
      <c r="B16" s="129" t="s">
        <v>81</v>
      </c>
      <c r="C16" s="13">
        <v>4.1799999999999997E-2</v>
      </c>
      <c r="D16" s="85">
        <f t="shared" ref="D16:F16" si="4">$C16*D8</f>
        <v>5.9185840707964593E-2</v>
      </c>
      <c r="E16" s="85">
        <f t="shared" si="4"/>
        <v>8.6312684365781697E-2</v>
      </c>
      <c r="F16" s="85">
        <f t="shared" si="4"/>
        <v>3.8594100294985251E-2</v>
      </c>
    </row>
    <row r="17" spans="2:13">
      <c r="K17" s="84" t="s">
        <v>247</v>
      </c>
      <c r="L17" s="84">
        <f>'Macro(5y Avg)'!C24</f>
        <v>58693</v>
      </c>
    </row>
    <row r="18" spans="2:13">
      <c r="K18" s="84" t="s">
        <v>248</v>
      </c>
      <c r="L18" s="85">
        <f>'Macro(5y Avg)'!C30</f>
        <v>0.16200000000000001</v>
      </c>
    </row>
    <row r="19" spans="2:13">
      <c r="K19" s="84" t="s">
        <v>249</v>
      </c>
      <c r="L19" s="135">
        <f>L18*L17</f>
        <v>9508.2659999999996</v>
      </c>
    </row>
    <row r="20" spans="2:13" ht="40" customHeight="1">
      <c r="B20" s="131" t="s">
        <v>1</v>
      </c>
      <c r="C20" s="132" t="s">
        <v>209</v>
      </c>
      <c r="D20" s="132" t="s">
        <v>193</v>
      </c>
      <c r="E20" s="132" t="s">
        <v>194</v>
      </c>
      <c r="F20" s="132" t="s">
        <v>195</v>
      </c>
      <c r="G20" s="136" t="s">
        <v>208</v>
      </c>
      <c r="H20" s="144" t="s">
        <v>212</v>
      </c>
      <c r="I20" s="144" t="s">
        <v>213</v>
      </c>
      <c r="J20" s="172"/>
      <c r="K20" s="172"/>
    </row>
    <row r="21" spans="2:13">
      <c r="B21" s="133" t="s">
        <v>3</v>
      </c>
      <c r="C21" s="135">
        <f>C12*'EL Loss model'!$H15*'EL Loss model'!$H24</f>
        <v>211.899798</v>
      </c>
      <c r="D21" s="135">
        <f>D12*'EL Loss model'!$H15*'EL Loss model'!$H24</f>
        <v>288.18372528000003</v>
      </c>
      <c r="E21" s="135">
        <f>E12*'EL Loss model'!$H15*'EL Loss model'!$H24</f>
        <v>603.20809164000002</v>
      </c>
      <c r="F21" s="135">
        <f>F12*'EL Loss model'!$H15*'EL Loss model'!$H24</f>
        <v>190.7098182</v>
      </c>
      <c r="G21" s="135">
        <f>C21*'Macro Forcast(5y)'!$C$29+'Stress Testing'!D21*'Macro Forcast(5y)'!$C$30+'Stress Testing'!E21*'Macro Forcast(5y)'!$C$31+'Stress Testing'!F21*'Macro Forcast(5y)'!$C$32</f>
        <v>260.91928460400004</v>
      </c>
      <c r="H21" s="135">
        <f>G21-C21</f>
        <v>49.019486604000036</v>
      </c>
      <c r="I21" s="85">
        <f>H21/C21</f>
        <v>0.2313333333333335</v>
      </c>
      <c r="J21" s="130"/>
      <c r="K21" s="130"/>
    </row>
    <row r="22" spans="2:13">
      <c r="B22" s="134" t="s">
        <v>6</v>
      </c>
      <c r="C22" s="135">
        <f>C13*'EL Loss model'!$H16*'EL Loss model'!$H25</f>
        <v>62</v>
      </c>
      <c r="D22" s="135">
        <f>D13*'EL Loss model'!$H16*'EL Loss model'!$H25</f>
        <v>70.639344262295097</v>
      </c>
      <c r="E22" s="135">
        <f>E13*'EL Loss model'!$H16*'EL Loss model'!$H25</f>
        <v>85.377049180327887</v>
      </c>
      <c r="F22" s="135">
        <f>F13*'EL Loss model'!$H16*'EL Loss model'!$H25</f>
        <v>59.459016393442624</v>
      </c>
      <c r="G22" s="135">
        <f>C22*'Macro Forcast(5y)'!$C$29+'Stress Testing'!D22*'Macro Forcast(5y)'!$C$30+'Stress Testing'!E22*'Macro Forcast(5y)'!$C$31+'Stress Testing'!F22*'Macro Forcast(5y)'!$C$32</f>
        <v>66.497540983606569</v>
      </c>
      <c r="H22" s="135">
        <f t="shared" ref="H22:H26" si="5">G22-C22</f>
        <v>4.4975409836065694</v>
      </c>
      <c r="I22" s="85">
        <f t="shared" ref="I22:I26" si="6">H22/C22</f>
        <v>7.2540983606557571E-2</v>
      </c>
      <c r="J22" s="130"/>
      <c r="K22" s="130"/>
    </row>
    <row r="23" spans="2:13">
      <c r="B23" s="133" t="s">
        <v>4</v>
      </c>
      <c r="C23" s="135">
        <f>C14*'EL Loss model'!$H17*'EL Loss model'!$H26</f>
        <v>160.35</v>
      </c>
      <c r="D23" s="135">
        <f>D14*'EL Loss model'!$H17*'EL Loss model'!$H26</f>
        <v>197.69734177215187</v>
      </c>
      <c r="E23" s="135">
        <f>E14*'EL Loss model'!$H17*'EL Loss model'!$H26</f>
        <v>237.88632911392401</v>
      </c>
      <c r="F23" s="135">
        <f>F14*'EL Loss model'!$H17*'EL Loss model'!$H26</f>
        <v>144.92392405063291</v>
      </c>
      <c r="G23" s="135">
        <f>C23*'Macro Forcast(5y)'!$C$29+'Stress Testing'!D23*'Macro Forcast(5y)'!$C$30+'Stress Testing'!E23*'Macro Forcast(5y)'!$C$31+'Stress Testing'!F23*'Macro Forcast(5y)'!$C$32</f>
        <v>178.39444936708861</v>
      </c>
      <c r="H23" s="135">
        <f t="shared" si="5"/>
        <v>18.044449367088617</v>
      </c>
      <c r="I23" s="85">
        <f t="shared" si="6"/>
        <v>0.11253164556962032</v>
      </c>
      <c r="J23" s="130"/>
      <c r="K23" s="130"/>
    </row>
    <row r="24" spans="2:13">
      <c r="B24" s="134" t="s">
        <v>80</v>
      </c>
      <c r="C24" s="135">
        <f>C15*'EL Loss model'!$H18*'EL Loss model'!$H27</f>
        <v>119.58930000000001</v>
      </c>
      <c r="D24" s="135">
        <f>D15*'EL Loss model'!$H18*'EL Loss model'!$H27</f>
        <v>169.32998230088495</v>
      </c>
      <c r="E24" s="135">
        <f>E15*'EL Loss model'!$H18*'EL Loss model'!$H27</f>
        <v>246.93955752212386</v>
      </c>
      <c r="F24" s="135">
        <f>F15*'EL Loss model'!$H18*'EL Loss model'!$H27</f>
        <v>110.41725929203541</v>
      </c>
      <c r="G24" s="135">
        <f>C24*'Macro Forcast(5y)'!$C$29+'Stress Testing'!D24*'Macro Forcast(5y)'!$C$30+'Stress Testing'!E24*'Macro Forcast(5y)'!$C$31+'Stress Testing'!F24*'Macro Forcast(5y)'!$C$32</f>
        <v>145.39448376106196</v>
      </c>
      <c r="H24" s="142">
        <f t="shared" si="5"/>
        <v>25.805183761061954</v>
      </c>
      <c r="I24" s="85">
        <f t="shared" si="6"/>
        <v>0.21578171091445433</v>
      </c>
      <c r="J24" s="130"/>
      <c r="K24" s="130"/>
    </row>
    <row r="25" spans="2:13" ht="16" thickBot="1">
      <c r="B25" s="139" t="s">
        <v>81</v>
      </c>
      <c r="C25" s="140">
        <f>C16*'EL Loss model'!$H19*'EL Loss model'!$H28</f>
        <v>302.73683440000002</v>
      </c>
      <c r="D25" s="140">
        <f>D16*'EL Loss model'!$H19*'EL Loss model'!$H28</f>
        <v>428.65392481415927</v>
      </c>
      <c r="E25" s="140">
        <f>E16*'EL Loss model'!$H19*'EL Loss model'!$H28</f>
        <v>625.12030702064885</v>
      </c>
      <c r="F25" s="140">
        <f>F16*'EL Loss model'!$H19*'EL Loss model'!$H28</f>
        <v>279.51808013923306</v>
      </c>
      <c r="G25" s="140">
        <f>C25*'Macro Forcast(5y)'!$C$29+'Stress Testing'!D25*'Macro Forcast(5y)'!$C$30+'Stress Testing'!E25*'Macro Forcast(5y)'!$C$31+'Stress Testing'!F25*'Macro Forcast(5y)'!$C$32</f>
        <v>368.06190648365776</v>
      </c>
      <c r="H25" s="143">
        <f t="shared" si="5"/>
        <v>65.325072083657744</v>
      </c>
      <c r="I25" s="146">
        <f t="shared" si="6"/>
        <v>0.21578171091445403</v>
      </c>
      <c r="J25" s="130"/>
      <c r="K25" s="130"/>
    </row>
    <row r="26" spans="2:13" ht="16" thickTop="1">
      <c r="B26" s="137" t="s">
        <v>210</v>
      </c>
      <c r="C26" s="138">
        <f>SUM(C21:C25)</f>
        <v>856.57593240000006</v>
      </c>
      <c r="D26" s="138">
        <f t="shared" ref="D26:G26" si="7">SUM(D21:D25)</f>
        <v>1154.5043184294911</v>
      </c>
      <c r="E26" s="138">
        <f t="shared" si="7"/>
        <v>1798.5313344770245</v>
      </c>
      <c r="F26" s="138">
        <f t="shared" si="7"/>
        <v>785.02809807534391</v>
      </c>
      <c r="G26" s="138">
        <f t="shared" si="7"/>
        <v>1019.267665199415</v>
      </c>
      <c r="H26" s="138">
        <f t="shared" si="5"/>
        <v>162.69173279941492</v>
      </c>
      <c r="I26" s="145">
        <f t="shared" si="6"/>
        <v>0.18993264536814217</v>
      </c>
      <c r="J26" s="130"/>
      <c r="K26" s="130"/>
    </row>
    <row r="29" spans="2:13" ht="29" customHeight="1">
      <c r="B29" s="148" t="s">
        <v>214</v>
      </c>
      <c r="C29" s="173" t="s">
        <v>215</v>
      </c>
      <c r="D29" s="174" t="s">
        <v>263</v>
      </c>
      <c r="E29" s="162" t="s">
        <v>216</v>
      </c>
      <c r="F29" s="163" t="s">
        <v>232</v>
      </c>
      <c r="G29" s="171" t="s">
        <v>250</v>
      </c>
      <c r="H29" s="141" t="s">
        <v>264</v>
      </c>
      <c r="I29" s="174" t="s">
        <v>265</v>
      </c>
      <c r="J29" s="147" t="s">
        <v>217</v>
      </c>
      <c r="K29" s="155" t="s">
        <v>218</v>
      </c>
      <c r="L29" s="127"/>
      <c r="M29" s="153"/>
    </row>
    <row r="30" spans="2:13">
      <c r="B30" s="149" t="s">
        <v>172</v>
      </c>
      <c r="C30" s="150">
        <f>'Macro Forcast(5y)'!C29</f>
        <v>0.5</v>
      </c>
      <c r="D30" s="152">
        <f>C26</f>
        <v>856.57593240000006</v>
      </c>
      <c r="E30" s="166">
        <f>D30-$D$30</f>
        <v>0</v>
      </c>
      <c r="F30" s="165">
        <f>$L$19-E30</f>
        <v>9508.2659999999996</v>
      </c>
      <c r="G30" s="85">
        <f>F30/$L$17</f>
        <v>0.16200000000000001</v>
      </c>
      <c r="H30" s="85">
        <f>'Macro(5y Avg)'!$C$40</f>
        <v>0.1129</v>
      </c>
      <c r="I30" s="85">
        <f>G30-'Macro(5y Avg)'!$C$40</f>
        <v>4.9100000000000005E-2</v>
      </c>
      <c r="J30" s="149" t="s">
        <v>228</v>
      </c>
      <c r="K30" s="154" t="s">
        <v>219</v>
      </c>
    </row>
    <row r="31" spans="2:13">
      <c r="B31" s="149" t="s">
        <v>220</v>
      </c>
      <c r="C31" s="150">
        <f>'Macro Forcast(5y)'!C30</f>
        <v>0.4</v>
      </c>
      <c r="D31" s="152">
        <f>D26</f>
        <v>1154.5043184294911</v>
      </c>
      <c r="E31" s="166">
        <f>D31-$D$30</f>
        <v>297.92838602949109</v>
      </c>
      <c r="F31" s="165">
        <f t="shared" ref="F31:F33" si="8">$L$19-E31</f>
        <v>9210.3376139705088</v>
      </c>
      <c r="G31" s="85">
        <f t="shared" ref="G31:G33" si="9">F31/$L$17</f>
        <v>0.15692395369073839</v>
      </c>
      <c r="H31" s="85">
        <f>'Macro(5y Avg)'!$C$40</f>
        <v>0.1129</v>
      </c>
      <c r="I31" s="85">
        <f>G31-'Macro(5y Avg)'!$C$40</f>
        <v>4.4023953690738388E-2</v>
      </c>
      <c r="J31" s="149" t="s">
        <v>229</v>
      </c>
      <c r="K31" s="154" t="s">
        <v>221</v>
      </c>
    </row>
    <row r="32" spans="2:13">
      <c r="B32" s="149" t="s">
        <v>222</v>
      </c>
      <c r="C32" s="150">
        <f>'Macro Forcast(5y)'!C31</f>
        <v>0.05</v>
      </c>
      <c r="D32" s="152">
        <f>E26</f>
        <v>1798.5313344770245</v>
      </c>
      <c r="E32" s="166">
        <f>D32-$D$30</f>
        <v>941.95540207702447</v>
      </c>
      <c r="F32" s="165">
        <f t="shared" si="8"/>
        <v>8566.3105979229749</v>
      </c>
      <c r="G32" s="85">
        <f t="shared" si="9"/>
        <v>0.14595114575712564</v>
      </c>
      <c r="H32" s="85">
        <f>'Macro(5y Avg)'!$C$40</f>
        <v>0.1129</v>
      </c>
      <c r="I32" s="85">
        <f>G32-'Macro(5y Avg)'!$C$40</f>
        <v>3.3051145757125644E-2</v>
      </c>
      <c r="J32" s="149" t="s">
        <v>230</v>
      </c>
      <c r="K32" s="154" t="s">
        <v>223</v>
      </c>
    </row>
    <row r="33" spans="2:11" ht="16" thickBot="1">
      <c r="B33" s="159" t="s">
        <v>224</v>
      </c>
      <c r="C33" s="160">
        <f>'Macro Forcast(5y)'!C32</f>
        <v>0.05</v>
      </c>
      <c r="D33" s="161">
        <f>F26</f>
        <v>785.02809807534391</v>
      </c>
      <c r="E33" s="167">
        <f>D33-$D$30</f>
        <v>-71.547834324656151</v>
      </c>
      <c r="F33" s="168">
        <f t="shared" si="8"/>
        <v>9579.8138343246555</v>
      </c>
      <c r="G33" s="146">
        <f t="shared" si="9"/>
        <v>0.16321901818487136</v>
      </c>
      <c r="H33" s="146">
        <f>'Macro(5y Avg)'!$C$40</f>
        <v>0.1129</v>
      </c>
      <c r="I33" s="146">
        <f>G33-'Macro(5y Avg)'!$C$40</f>
        <v>5.0319018184871361E-2</v>
      </c>
      <c r="J33" s="159" t="s">
        <v>231</v>
      </c>
      <c r="K33" s="169" t="s">
        <v>225</v>
      </c>
    </row>
    <row r="34" spans="2:11" ht="16" thickTop="1">
      <c r="B34" s="156" t="s">
        <v>226</v>
      </c>
      <c r="C34" s="157">
        <f>SUM(C30:C33)</f>
        <v>1</v>
      </c>
      <c r="D34" s="158">
        <f>G26</f>
        <v>1019.267665199415</v>
      </c>
      <c r="E34" s="158"/>
      <c r="F34" s="156"/>
      <c r="G34" s="170"/>
      <c r="H34" s="170"/>
      <c r="I34" s="170"/>
      <c r="J34" s="156"/>
      <c r="K34" s="156" t="s">
        <v>227</v>
      </c>
    </row>
  </sheetData>
  <mergeCells count="1">
    <mergeCell ref="H3:I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6DCE-3B8E-1B4A-8C82-E502F1E06899}">
  <dimension ref="B1:M20"/>
  <sheetViews>
    <sheetView zoomScaleNormal="100" workbookViewId="0">
      <selection activeCell="J18" sqref="J18"/>
    </sheetView>
  </sheetViews>
  <sheetFormatPr baseColWidth="10" defaultRowHeight="15"/>
  <cols>
    <col min="1" max="1" width="3.83203125" style="1" customWidth="1"/>
    <col min="2" max="2" width="35.33203125" style="1" customWidth="1"/>
    <col min="3" max="16384" width="10.83203125" style="1"/>
  </cols>
  <sheetData>
    <row r="1" spans="2:13" ht="16" thickBot="1">
      <c r="B1" s="228" t="s">
        <v>282</v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</row>
    <row r="2" spans="2:13" ht="16" thickBot="1">
      <c r="C2" s="180"/>
      <c r="D2" s="180"/>
      <c r="E2" s="180"/>
    </row>
    <row r="3" spans="2:13" ht="16" thickBot="1">
      <c r="B3" s="221" t="s">
        <v>283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</row>
    <row r="4" spans="2:13" ht="16" thickBot="1">
      <c r="B4" s="178" t="s">
        <v>267</v>
      </c>
      <c r="C4" s="179">
        <v>2020</v>
      </c>
      <c r="D4" s="179">
        <f>C4+1</f>
        <v>2021</v>
      </c>
      <c r="E4" s="179">
        <f t="shared" ref="E4:H4" si="0">D4+1</f>
        <v>2022</v>
      </c>
      <c r="F4" s="179">
        <f t="shared" si="0"/>
        <v>2023</v>
      </c>
      <c r="G4" s="179">
        <f t="shared" si="0"/>
        <v>2024</v>
      </c>
      <c r="H4" s="179">
        <f t="shared" si="0"/>
        <v>2025</v>
      </c>
    </row>
    <row r="5" spans="2:13">
      <c r="B5" s="89" t="s">
        <v>268</v>
      </c>
      <c r="C5" s="85">
        <f>'Raw Data'!C63/'Raw Data'!C$11</f>
        <v>0.79186781054315747</v>
      </c>
      <c r="D5" s="85">
        <f>'Raw Data'!D63/'Raw Data'!D$11</f>
        <v>0.85233025200836354</v>
      </c>
      <c r="E5" s="85">
        <f>'Raw Data'!E63/'Raw Data'!E$11</f>
        <v>0.87901462703659361</v>
      </c>
      <c r="F5" s="85">
        <f>'Raw Data'!F63/'Raw Data'!F$11</f>
        <v>0.86900026202329628</v>
      </c>
      <c r="G5" s="85">
        <f>'Raw Data'!G63/'Raw Data'!G$11</f>
        <v>0.86948116176602819</v>
      </c>
      <c r="H5" s="85">
        <f>'Raw Data'!H63/'Raw Data'!H$11</f>
        <v>0.87809675351941474</v>
      </c>
    </row>
    <row r="6" spans="2:13">
      <c r="B6" s="176" t="s">
        <v>269</v>
      </c>
      <c r="C6" s="85">
        <f>'Raw Data'!C64/'Raw Data'!C$11</f>
        <v>0.1471407685305233</v>
      </c>
      <c r="D6" s="85">
        <f>'Raw Data'!D64/'Raw Data'!D$11</f>
        <v>0.10435237151975349</v>
      </c>
      <c r="E6" s="85">
        <f>'Raw Data'!E64/'Raw Data'!E$11</f>
        <v>9.2577169330071318E-2</v>
      </c>
      <c r="F6" s="85">
        <f>'Raw Data'!F64/'Raw Data'!F$11</f>
        <v>0.10552392749100784</v>
      </c>
      <c r="G6" s="85">
        <f>'Raw Data'!G64/'Raw Data'!G$11</f>
        <v>0.10601564607499325</v>
      </c>
      <c r="H6" s="85">
        <f>'Raw Data'!H64/'Raw Data'!H$11</f>
        <v>0.10170390505867533</v>
      </c>
    </row>
    <row r="7" spans="2:13">
      <c r="B7" s="177" t="s">
        <v>270</v>
      </c>
      <c r="C7" s="85">
        <f>'Raw Data'!C65/'Raw Data'!C$11</f>
        <v>5.8453559901795814E-2</v>
      </c>
      <c r="D7" s="85">
        <f>'Raw Data'!D65/'Raw Data'!D$11</f>
        <v>4.1900517222405634E-2</v>
      </c>
      <c r="E7" s="85">
        <f>'Raw Data'!E65/'Raw Data'!E$11</f>
        <v>2.7276039768882411E-2</v>
      </c>
      <c r="F7" s="85">
        <f>'Raw Data'!F65/'Raw Data'!F$11</f>
        <v>2.3915580858007195E-2</v>
      </c>
      <c r="G7" s="85">
        <f>'Raw Data'!G65/'Raw Data'!G$11</f>
        <v>2.2322632856757486E-2</v>
      </c>
      <c r="H7" s="85">
        <f>'Raw Data'!H65/'Raw Data'!H$11</f>
        <v>1.8365046741364448E-2</v>
      </c>
    </row>
    <row r="8" spans="2:13">
      <c r="B8" s="183" t="s">
        <v>271</v>
      </c>
      <c r="C8" s="215">
        <f>((C$5-$C$5)*LN(C$5/$C$5))+((C$6-$C$6)*LN(C$6/$C$6))+((C$7-$C$7)*LN(C$7/$C$7))</f>
        <v>0</v>
      </c>
      <c r="D8" s="215">
        <f>((D$5-$C$5)*LN(D$5/$C$5))+((D$6-$C$6)*LN(D$6/$C$6))+((D$7-$C$7)*LN(D$7/$C$7))</f>
        <v>2.4662673880629211E-2</v>
      </c>
      <c r="E8" s="215">
        <f t="shared" ref="E8:H8" si="1">((E$5-$C$5)*LN(E$5/$C$5))+((E$6-$C$6)*LN(E$6/$C$6))+((E$7-$C$7)*LN(E$7/$C$7))</f>
        <v>5.8144885320132067E-2</v>
      </c>
      <c r="F8" s="215">
        <f t="shared" si="1"/>
        <v>5.1871658835693987E-2</v>
      </c>
      <c r="G8" s="215">
        <f t="shared" si="1"/>
        <v>5.5518727880069021E-2</v>
      </c>
      <c r="H8" s="215">
        <f t="shared" si="1"/>
        <v>7.2107562611996717E-2</v>
      </c>
    </row>
    <row r="9" spans="2:13">
      <c r="B9" s="84" t="s">
        <v>272</v>
      </c>
      <c r="C9" s="182"/>
      <c r="D9" s="184" t="str">
        <f>IF(D8&lt;0.1,"Stable",IF(D8&lt;0.25,"Monitor","Major Shift"))</f>
        <v>Stable</v>
      </c>
      <c r="E9" s="184" t="str">
        <f t="shared" ref="E9:H9" si="2">IF(E8&lt;0.1,"Stable",IF(E8&lt;0.25,"Monitor","Major Shift"))</f>
        <v>Stable</v>
      </c>
      <c r="F9" s="184" t="str">
        <f t="shared" si="2"/>
        <v>Stable</v>
      </c>
      <c r="G9" s="184" t="str">
        <f t="shared" si="2"/>
        <v>Stable</v>
      </c>
      <c r="H9" s="184" t="str">
        <f t="shared" si="2"/>
        <v>Stable</v>
      </c>
    </row>
    <row r="11" spans="2:13" ht="16" thickBot="1"/>
    <row r="12" spans="2:13" ht="16" thickBot="1">
      <c r="B12" s="221" t="s">
        <v>284</v>
      </c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21"/>
    </row>
    <row r="13" spans="2:13">
      <c r="B13" s="75" t="s">
        <v>1</v>
      </c>
      <c r="C13" s="76">
        <v>2020</v>
      </c>
      <c r="D13" s="76">
        <f>C13+1</f>
        <v>2021</v>
      </c>
      <c r="E13" s="76">
        <f t="shared" ref="E13:H13" si="3">D13+1</f>
        <v>2022</v>
      </c>
      <c r="F13" s="76">
        <f t="shared" si="3"/>
        <v>2023</v>
      </c>
      <c r="G13" s="76">
        <f t="shared" si="3"/>
        <v>2024</v>
      </c>
      <c r="H13" s="76">
        <f t="shared" si="3"/>
        <v>2025</v>
      </c>
    </row>
    <row r="14" spans="2:13">
      <c r="B14" s="133" t="s">
        <v>3</v>
      </c>
      <c r="C14" s="181">
        <f>'Raw Data'!C6/'Raw Data'!C$11</f>
        <v>0.43427767509861798</v>
      </c>
      <c r="D14" s="181">
        <f>'Raw Data'!D6/'Raw Data'!D11</f>
        <v>0.42164630791240232</v>
      </c>
      <c r="E14" s="181">
        <f>'Raw Data'!E6/'Raw Data'!E11</f>
        <v>0.40923169017750249</v>
      </c>
      <c r="F14" s="181">
        <f>'Raw Data'!F6/'Raw Data'!F11</f>
        <v>0.42876539386865486</v>
      </c>
      <c r="G14" s="181">
        <f>'Raw Data'!G6/'Raw Data'!G11</f>
        <v>0.43326814135419478</v>
      </c>
      <c r="H14" s="181">
        <f>'Raw Data'!H6/'Raw Data'!H11</f>
        <v>0.4302857521713187</v>
      </c>
    </row>
    <row r="15" spans="2:13">
      <c r="B15" s="134" t="s">
        <v>6</v>
      </c>
      <c r="C15" s="181">
        <f>'Raw Data'!C7/'Raw Data'!C$11</f>
        <v>7.7721993876031001E-2</v>
      </c>
      <c r="D15" s="181">
        <f>'Raw Data'!D7/'Raw Data'!D$11</f>
        <v>7.6482887641685926E-2</v>
      </c>
      <c r="E15" s="181">
        <f>'Raw Data'!E7/'Raw Data'!E$11</f>
        <v>7.2731768257768989E-2</v>
      </c>
      <c r="F15" s="181">
        <f>'Raw Data'!F7/'Raw Data'!F$11</f>
        <v>6.9864938900931373E-2</v>
      </c>
      <c r="G15" s="181">
        <f>'Raw Data'!G7/'Raw Data'!G$11</f>
        <v>7.0261217516410401E-2</v>
      </c>
      <c r="H15" s="181">
        <f>'Raw Data'!H7/'Raw Data'!H$11</f>
        <v>7.1614842316957278E-2</v>
      </c>
    </row>
    <row r="16" spans="2:13">
      <c r="B16" s="133" t="s">
        <v>4</v>
      </c>
      <c r="C16" s="181">
        <f>'Raw Data'!C8/'Raw Data'!C$11</f>
        <v>0.12689305122617306</v>
      </c>
      <c r="D16" s="181">
        <f>'Raw Data'!D8/'Raw Data'!D$11</f>
        <v>0.13377627379773302</v>
      </c>
      <c r="E16" s="181">
        <f>'Raw Data'!E8/'Raw Data'!E$11</f>
        <v>0.14316016865337566</v>
      </c>
      <c r="F16" s="181">
        <f>'Raw Data'!F8/'Raw Data'!F$11</f>
        <v>0.13650222719801816</v>
      </c>
      <c r="G16" s="181">
        <f>'Raw Data'!G8/'Raw Data'!G$11</f>
        <v>0.12211132092437731</v>
      </c>
      <c r="H16" s="181">
        <f>'Raw Data'!H8/'Raw Data'!H$11</f>
        <v>0.11595836372074521</v>
      </c>
    </row>
    <row r="17" spans="2:8">
      <c r="B17" s="134" t="s">
        <v>80</v>
      </c>
      <c r="C17" s="181">
        <f>'Raw Data'!C9/'Raw Data'!C$11</f>
        <v>0.25117927781302585</v>
      </c>
      <c r="D17" s="181">
        <f>'Raw Data'!D9/'Raw Data'!D$11</f>
        <v>0.24960107846373941</v>
      </c>
      <c r="E17" s="181">
        <f>'Raw Data'!E9/'Raw Data'!E$11</f>
        <v>0.18139347248971943</v>
      </c>
      <c r="F17" s="181">
        <f>'Raw Data'!F9/'Raw Data'!F$11</f>
        <v>0.17476953860079561</v>
      </c>
      <c r="G17" s="181">
        <f>'Raw Data'!G9/'Raw Data'!G$11</f>
        <v>0.1767714234331445</v>
      </c>
      <c r="H17" s="181">
        <f>'Raw Data'!H9/'Raw Data'!H$11</f>
        <v>0.17902053084046057</v>
      </c>
    </row>
    <row r="18" spans="2:8">
      <c r="B18" s="134" t="s">
        <v>81</v>
      </c>
      <c r="C18" s="181">
        <f>'Raw Data'!C10/'Raw Data'!C$11</f>
        <v>0.1099280019861521</v>
      </c>
      <c r="D18" s="181">
        <f>'Raw Data'!D10/'Raw Data'!D$11</f>
        <v>0.11849345218443931</v>
      </c>
      <c r="E18" s="181">
        <f>'Raw Data'!E10/'Raw Data'!E$11</f>
        <v>0.19348290042163344</v>
      </c>
      <c r="F18" s="181">
        <f>'Raw Data'!F10/'Raw Data'!F$11</f>
        <v>0.19009790143160002</v>
      </c>
      <c r="G18" s="181">
        <f>'Raw Data'!G10/'Raw Data'!G$11</f>
        <v>0.19758789677187302</v>
      </c>
      <c r="H18" s="181">
        <f>'Raw Data'!H10/'Raw Data'!H$11</f>
        <v>0.20312051095051825</v>
      </c>
    </row>
    <row r="19" spans="2:8">
      <c r="B19" s="149" t="s">
        <v>271</v>
      </c>
      <c r="C19" s="214">
        <f>((C$14-$C$14)*LN(C$14/$C$14))+((C$15-$C$15)*LN(C$15/$C$15))+((C$16-$C$16)*LN(C$16/$C$16))+((C$17-$C$17)*LN(C$17/$C$17))+((C$18-$C$18)*LN(C$18/$C$18))</f>
        <v>0</v>
      </c>
      <c r="D19" s="214">
        <f>((D$14-$C$14)*LN(D$14/$C$14))+((D$15-$C$15)*LN(D$15/$C$15))+((D$16-$C$16)*LN(D$16/$C$16))+((D$17-$C$17)*LN(D$17/$C$17))+((D$18-$C$18)*LN(D$18/$C$18))</f>
        <v>1.4089894583353502E-3</v>
      </c>
      <c r="E19" s="214">
        <f t="shared" ref="E19:H19" si="4">((E$14-$C$14)*LN(E$14/$C$14))+((E$15-$C$15)*LN(E$15/$C$15))+((E$16-$C$16)*LN(E$16/$C$16))+((E$17-$C$17)*LN(E$17/$C$17))+((E$18-$C$18)*LN(E$18/$C$18))</f>
        <v>7.3735138256589686E-2</v>
      </c>
      <c r="F19" s="214">
        <f t="shared" si="4"/>
        <v>7.3233070462593447E-2</v>
      </c>
      <c r="G19" s="214">
        <f t="shared" si="4"/>
        <v>7.8479205646801831E-2</v>
      </c>
      <c r="H19" s="214">
        <f t="shared" si="4"/>
        <v>8.3177518002678433E-2</v>
      </c>
    </row>
    <row r="20" spans="2:8">
      <c r="B20" s="84" t="s">
        <v>272</v>
      </c>
      <c r="C20" s="84"/>
      <c r="D20" s="185" t="str">
        <f>IF(D19&lt;0.1,"Stable",IF(D19&lt;0.25,"Monitor","Major Shift"))</f>
        <v>Stable</v>
      </c>
      <c r="E20" s="185" t="str">
        <f t="shared" ref="E20:H20" si="5">IF(E19&lt;0.1,"Stable",IF(E19&lt;0.25,"Monitor","Major Shift"))</f>
        <v>Stable</v>
      </c>
      <c r="F20" s="185" t="str">
        <f t="shared" si="5"/>
        <v>Stable</v>
      </c>
      <c r="G20" s="185" t="str">
        <f t="shared" si="5"/>
        <v>Stable</v>
      </c>
      <c r="H20" s="185" t="str">
        <f t="shared" si="5"/>
        <v>Stable</v>
      </c>
    </row>
  </sheetData>
  <mergeCells count="3">
    <mergeCell ref="B1:M1"/>
    <mergeCell ref="B3:M3"/>
    <mergeCell ref="B12:M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A021-C912-7D49-BF99-258603CA38A9}">
  <dimension ref="A1"/>
  <sheetViews>
    <sheetView workbookViewId="0">
      <selection activeCell="G19" sqref="G19"/>
    </sheetView>
  </sheetViews>
  <sheetFormatPr baseColWidth="10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E473-221D-B841-BBB1-D0E0DD919BF6}">
  <dimension ref="A1:S42"/>
  <sheetViews>
    <sheetView workbookViewId="0">
      <selection activeCell="A4" sqref="A4"/>
    </sheetView>
  </sheetViews>
  <sheetFormatPr baseColWidth="10" defaultRowHeight="15"/>
  <cols>
    <col min="1" max="1" width="39" customWidth="1"/>
    <col min="2" max="9" width="12.83203125" customWidth="1"/>
    <col min="11" max="11" width="29.6640625" customWidth="1"/>
  </cols>
  <sheetData>
    <row r="1" spans="1:18">
      <c r="A1" s="116" t="s">
        <v>186</v>
      </c>
    </row>
    <row r="4" spans="1:18" ht="16" thickBot="1">
      <c r="A4" s="49" t="s">
        <v>37</v>
      </c>
      <c r="B4" s="49" t="s">
        <v>38</v>
      </c>
      <c r="C4" s="49" t="s">
        <v>39</v>
      </c>
      <c r="D4" s="49" t="s">
        <v>40</v>
      </c>
      <c r="E4" s="49" t="s">
        <v>41</v>
      </c>
      <c r="F4" s="49" t="s">
        <v>42</v>
      </c>
      <c r="G4" s="62" t="s">
        <v>43</v>
      </c>
      <c r="H4" s="62" t="s">
        <v>44</v>
      </c>
      <c r="I4" s="49" t="s">
        <v>45</v>
      </c>
      <c r="K4" s="70"/>
      <c r="L4" s="49" t="s">
        <v>38</v>
      </c>
      <c r="M4" s="49" t="s">
        <v>39</v>
      </c>
      <c r="N4" s="49" t="s">
        <v>40</v>
      </c>
      <c r="O4" s="49" t="s">
        <v>41</v>
      </c>
      <c r="P4" s="49" t="s">
        <v>42</v>
      </c>
      <c r="Q4" s="62" t="s">
        <v>43</v>
      </c>
      <c r="R4" s="62" t="s">
        <v>44</v>
      </c>
    </row>
    <row r="5" spans="1:18" ht="16" thickBot="1">
      <c r="A5" s="48" t="s">
        <v>36</v>
      </c>
      <c r="B5" s="48"/>
      <c r="C5" s="48"/>
      <c r="D5" s="63"/>
      <c r="E5" s="48"/>
      <c r="F5" s="48"/>
      <c r="G5" s="57"/>
      <c r="H5" s="57"/>
      <c r="I5" s="48"/>
      <c r="K5" s="71" t="s">
        <v>81</v>
      </c>
    </row>
    <row r="6" spans="1:18">
      <c r="A6" s="48" t="s">
        <v>47</v>
      </c>
      <c r="B6" s="48">
        <v>5443</v>
      </c>
      <c r="C6" s="48">
        <v>2099</v>
      </c>
      <c r="D6" s="63">
        <v>7542</v>
      </c>
      <c r="E6" s="48">
        <v>6543</v>
      </c>
      <c r="F6" s="48">
        <v>942</v>
      </c>
      <c r="G6" s="57">
        <v>57</v>
      </c>
      <c r="H6" s="57">
        <v>0</v>
      </c>
      <c r="I6" s="48">
        <v>7542</v>
      </c>
      <c r="K6" s="48" t="s">
        <v>47</v>
      </c>
      <c r="L6" s="48">
        <v>5443</v>
      </c>
      <c r="M6" s="48">
        <v>2099</v>
      </c>
      <c r="N6" s="63">
        <v>7542</v>
      </c>
      <c r="O6" s="48">
        <v>6543</v>
      </c>
      <c r="P6" s="48">
        <v>942</v>
      </c>
      <c r="Q6" s="57">
        <v>57</v>
      </c>
      <c r="R6" s="57">
        <v>0</v>
      </c>
    </row>
    <row r="7" spans="1:18">
      <c r="A7" s="48" t="s">
        <v>48</v>
      </c>
      <c r="B7" s="48">
        <v>4972</v>
      </c>
      <c r="C7" s="48">
        <v>1379</v>
      </c>
      <c r="D7" s="63">
        <v>6351</v>
      </c>
      <c r="E7" s="48">
        <v>5408</v>
      </c>
      <c r="F7" s="48">
        <v>893</v>
      </c>
      <c r="G7" s="57">
        <v>50</v>
      </c>
      <c r="H7" s="57">
        <v>0</v>
      </c>
      <c r="I7" s="48">
        <v>6351</v>
      </c>
      <c r="K7" s="48" t="s">
        <v>50</v>
      </c>
      <c r="L7" s="48">
        <v>2894</v>
      </c>
      <c r="M7" s="48">
        <v>2323</v>
      </c>
      <c r="N7" s="63">
        <v>5217</v>
      </c>
      <c r="O7" s="48">
        <v>4319</v>
      </c>
      <c r="P7" s="48">
        <v>830</v>
      </c>
      <c r="Q7" s="57">
        <v>67</v>
      </c>
      <c r="R7" s="57">
        <v>1</v>
      </c>
    </row>
    <row r="8" spans="1:18">
      <c r="A8" s="48" t="s">
        <v>49</v>
      </c>
      <c r="B8" s="48">
        <v>2796</v>
      </c>
      <c r="C8" s="48">
        <v>448</v>
      </c>
      <c r="D8" s="63">
        <v>3244</v>
      </c>
      <c r="E8" s="48">
        <v>2754</v>
      </c>
      <c r="F8" s="48">
        <v>438</v>
      </c>
      <c r="G8" s="57">
        <v>50</v>
      </c>
      <c r="H8" s="57">
        <v>2</v>
      </c>
      <c r="I8" s="48">
        <v>3244</v>
      </c>
      <c r="K8" s="48" t="s">
        <v>51</v>
      </c>
      <c r="L8" s="48">
        <v>1887</v>
      </c>
      <c r="M8" s="48">
        <v>392</v>
      </c>
      <c r="N8" s="63">
        <v>2279</v>
      </c>
      <c r="O8" s="48">
        <v>2017</v>
      </c>
      <c r="P8" s="48">
        <v>248</v>
      </c>
      <c r="Q8" s="57">
        <v>14</v>
      </c>
      <c r="R8" s="57">
        <v>0</v>
      </c>
    </row>
    <row r="9" spans="1:18">
      <c r="A9" s="48" t="s">
        <v>50</v>
      </c>
      <c r="B9" s="48">
        <v>2894</v>
      </c>
      <c r="C9" s="48">
        <v>2323</v>
      </c>
      <c r="D9" s="63">
        <v>5217</v>
      </c>
      <c r="E9" s="48">
        <v>4319</v>
      </c>
      <c r="F9" s="48">
        <v>830</v>
      </c>
      <c r="G9" s="57">
        <v>67</v>
      </c>
      <c r="H9" s="57">
        <v>1</v>
      </c>
      <c r="I9" s="48">
        <v>5217</v>
      </c>
      <c r="K9" s="48" t="s">
        <v>56</v>
      </c>
      <c r="L9" s="48">
        <v>1444</v>
      </c>
      <c r="M9" s="48">
        <v>397</v>
      </c>
      <c r="N9" s="63">
        <v>1841</v>
      </c>
      <c r="O9" s="48">
        <v>1431</v>
      </c>
      <c r="P9" s="48">
        <v>206</v>
      </c>
      <c r="Q9" s="57">
        <v>204</v>
      </c>
      <c r="R9" s="57">
        <v>0</v>
      </c>
    </row>
    <row r="10" spans="1:18" ht="16" thickBot="1">
      <c r="A10" s="48" t="s">
        <v>51</v>
      </c>
      <c r="B10" s="48">
        <v>1887</v>
      </c>
      <c r="C10" s="48">
        <v>392</v>
      </c>
      <c r="D10" s="63">
        <v>2279</v>
      </c>
      <c r="E10" s="48">
        <v>2017</v>
      </c>
      <c r="F10" s="48">
        <v>248</v>
      </c>
      <c r="G10" s="57">
        <v>14</v>
      </c>
      <c r="H10" s="57">
        <v>0</v>
      </c>
      <c r="I10" s="48">
        <v>2279</v>
      </c>
      <c r="K10" s="48" t="s">
        <v>57</v>
      </c>
      <c r="L10" s="48">
        <v>446</v>
      </c>
      <c r="M10" s="48">
        <v>1057</v>
      </c>
      <c r="N10" s="63">
        <v>1503</v>
      </c>
      <c r="O10" s="48">
        <v>1471</v>
      </c>
      <c r="P10" s="48">
        <v>31</v>
      </c>
      <c r="Q10" s="57">
        <v>1</v>
      </c>
      <c r="R10" s="57">
        <v>0</v>
      </c>
    </row>
    <row r="11" spans="1:18" ht="16" thickBot="1">
      <c r="A11" s="48" t="s">
        <v>52</v>
      </c>
      <c r="B11" s="48">
        <v>2458</v>
      </c>
      <c r="C11" s="48">
        <v>1630</v>
      </c>
      <c r="D11" s="63">
        <v>4088</v>
      </c>
      <c r="E11" s="48">
        <v>3713</v>
      </c>
      <c r="F11" s="48">
        <v>321</v>
      </c>
      <c r="G11" s="57">
        <v>52</v>
      </c>
      <c r="H11" s="57">
        <v>2</v>
      </c>
      <c r="I11" s="48">
        <v>4088</v>
      </c>
      <c r="K11" s="71" t="s">
        <v>80</v>
      </c>
      <c r="M11" t="s">
        <v>82</v>
      </c>
      <c r="N11" s="72">
        <f>SUM(N6:N10)</f>
        <v>18382</v>
      </c>
      <c r="Q11" s="72">
        <f>SUM(Q6:Q10)</f>
        <v>343</v>
      </c>
      <c r="R11" s="72">
        <f>SUM(R6:R10)</f>
        <v>1</v>
      </c>
    </row>
    <row r="12" spans="1:18">
      <c r="A12" s="48" t="s">
        <v>53</v>
      </c>
      <c r="B12" s="48">
        <v>1634</v>
      </c>
      <c r="C12" s="48">
        <v>677</v>
      </c>
      <c r="D12" s="63">
        <v>2311</v>
      </c>
      <c r="E12" s="48">
        <v>1823</v>
      </c>
      <c r="F12" s="48">
        <v>405</v>
      </c>
      <c r="G12" s="57">
        <v>78</v>
      </c>
      <c r="H12" s="57">
        <v>5</v>
      </c>
      <c r="I12" s="48">
        <v>2311</v>
      </c>
      <c r="K12" s="48" t="s">
        <v>49</v>
      </c>
      <c r="L12" s="48">
        <v>2796</v>
      </c>
      <c r="M12" s="48">
        <v>448</v>
      </c>
      <c r="N12" s="63">
        <v>3244</v>
      </c>
      <c r="O12" s="48">
        <v>2754</v>
      </c>
      <c r="P12" s="48">
        <v>438</v>
      </c>
      <c r="Q12" s="57">
        <v>50</v>
      </c>
      <c r="R12" s="57">
        <v>2</v>
      </c>
    </row>
    <row r="13" spans="1:18">
      <c r="A13" s="48" t="s">
        <v>54</v>
      </c>
      <c r="B13" s="48">
        <v>2059</v>
      </c>
      <c r="C13" s="48">
        <v>1911</v>
      </c>
      <c r="D13" s="63">
        <v>3970</v>
      </c>
      <c r="E13" s="48">
        <v>3395</v>
      </c>
      <c r="F13" s="48">
        <v>518</v>
      </c>
      <c r="G13" s="57">
        <v>53</v>
      </c>
      <c r="H13" s="57">
        <v>4</v>
      </c>
      <c r="I13" s="48">
        <v>3970</v>
      </c>
      <c r="K13" s="48" t="s">
        <v>53</v>
      </c>
      <c r="L13" s="48">
        <v>1634</v>
      </c>
      <c r="M13" s="48">
        <v>677</v>
      </c>
      <c r="N13" s="63">
        <v>2311</v>
      </c>
      <c r="O13" s="48">
        <v>1823</v>
      </c>
      <c r="P13" s="48">
        <v>405</v>
      </c>
      <c r="Q13" s="57">
        <v>78</v>
      </c>
      <c r="R13" s="57">
        <v>5</v>
      </c>
    </row>
    <row r="14" spans="1:18">
      <c r="A14" s="48" t="s">
        <v>55</v>
      </c>
      <c r="B14" s="48">
        <v>1839</v>
      </c>
      <c r="C14" s="48">
        <v>749</v>
      </c>
      <c r="D14" s="63">
        <v>2588</v>
      </c>
      <c r="E14" s="48">
        <v>2382</v>
      </c>
      <c r="F14" s="48">
        <v>185</v>
      </c>
      <c r="G14" s="57">
        <v>20</v>
      </c>
      <c r="H14" s="57">
        <v>1</v>
      </c>
      <c r="I14" s="48">
        <v>2588</v>
      </c>
      <c r="K14" s="48" t="s">
        <v>54</v>
      </c>
      <c r="L14" s="48">
        <v>2059</v>
      </c>
      <c r="M14" s="48">
        <v>1911</v>
      </c>
      <c r="N14" s="63">
        <v>3970</v>
      </c>
      <c r="O14" s="48">
        <v>3395</v>
      </c>
      <c r="P14" s="48">
        <v>518</v>
      </c>
      <c r="Q14" s="57">
        <v>53</v>
      </c>
      <c r="R14" s="57">
        <v>4</v>
      </c>
    </row>
    <row r="15" spans="1:18">
      <c r="A15" s="48" t="s">
        <v>56</v>
      </c>
      <c r="B15" s="48">
        <v>1444</v>
      </c>
      <c r="C15" s="48">
        <v>397</v>
      </c>
      <c r="D15" s="63">
        <v>1841</v>
      </c>
      <c r="E15" s="48">
        <v>1431</v>
      </c>
      <c r="F15" s="48">
        <v>206</v>
      </c>
      <c r="G15" s="57">
        <v>204</v>
      </c>
      <c r="H15" s="57">
        <v>0</v>
      </c>
      <c r="I15" s="48">
        <v>1841</v>
      </c>
      <c r="K15" s="48" t="s">
        <v>52</v>
      </c>
      <c r="L15" s="48">
        <v>2458</v>
      </c>
      <c r="M15" s="48">
        <v>1630</v>
      </c>
      <c r="N15" s="63">
        <v>4088</v>
      </c>
      <c r="O15" s="48">
        <v>3713</v>
      </c>
      <c r="P15" s="48">
        <v>321</v>
      </c>
      <c r="Q15" s="57">
        <v>52</v>
      </c>
      <c r="R15" s="57">
        <v>2</v>
      </c>
    </row>
    <row r="16" spans="1:18">
      <c r="A16" s="48" t="s">
        <v>57</v>
      </c>
      <c r="B16" s="48">
        <v>446</v>
      </c>
      <c r="C16" s="48">
        <v>1057</v>
      </c>
      <c r="D16" s="63">
        <v>1503</v>
      </c>
      <c r="E16" s="48">
        <v>1471</v>
      </c>
      <c r="F16" s="48">
        <v>31</v>
      </c>
      <c r="G16" s="57">
        <v>1</v>
      </c>
      <c r="H16" s="57">
        <v>0</v>
      </c>
      <c r="I16" s="48">
        <v>1503</v>
      </c>
      <c r="K16" s="48" t="s">
        <v>55</v>
      </c>
      <c r="L16" s="48">
        <v>1839</v>
      </c>
      <c r="M16" s="48">
        <v>749</v>
      </c>
      <c r="N16" s="63">
        <v>2588</v>
      </c>
      <c r="O16" s="48">
        <v>2382</v>
      </c>
      <c r="P16" s="48">
        <v>185</v>
      </c>
      <c r="Q16" s="57">
        <v>20</v>
      </c>
      <c r="R16" s="57">
        <v>1</v>
      </c>
    </row>
    <row r="17" spans="1:19">
      <c r="A17" s="51" t="s">
        <v>58</v>
      </c>
      <c r="B17" s="51">
        <v>22900</v>
      </c>
      <c r="C17" s="51">
        <v>11683</v>
      </c>
      <c r="D17" s="64">
        <v>34583</v>
      </c>
      <c r="E17" s="51">
        <v>29848</v>
      </c>
      <c r="F17" s="51">
        <v>4124</v>
      </c>
      <c r="G17" s="58">
        <v>596</v>
      </c>
      <c r="H17" s="58">
        <v>15</v>
      </c>
      <c r="I17" s="51">
        <v>34583</v>
      </c>
      <c r="M17" t="s">
        <v>82</v>
      </c>
      <c r="N17">
        <f>SUM(N12:N16)</f>
        <v>16201</v>
      </c>
      <c r="Q17">
        <f>SUM(Q12:Q16)</f>
        <v>253</v>
      </c>
      <c r="R17">
        <f>SUM(R12:R16)</f>
        <v>14</v>
      </c>
    </row>
    <row r="18" spans="1:19">
      <c r="A18" s="48" t="s">
        <v>59</v>
      </c>
      <c r="B18" s="48">
        <v>8389</v>
      </c>
      <c r="C18" s="48">
        <v>2105</v>
      </c>
      <c r="D18" s="63">
        <v>10494</v>
      </c>
      <c r="E18" s="48">
        <v>7565</v>
      </c>
      <c r="F18" s="48">
        <v>2554</v>
      </c>
      <c r="G18" s="57">
        <v>374</v>
      </c>
      <c r="H18" s="57">
        <v>1</v>
      </c>
      <c r="I18" s="48">
        <v>10494</v>
      </c>
    </row>
    <row r="19" spans="1:19">
      <c r="A19" s="48" t="s">
        <v>60</v>
      </c>
      <c r="B19" s="48">
        <v>37531</v>
      </c>
      <c r="C19" s="48">
        <v>1409</v>
      </c>
      <c r="D19" s="63">
        <v>38940</v>
      </c>
      <c r="E19" s="48">
        <v>36399</v>
      </c>
      <c r="F19" s="48">
        <v>1795</v>
      </c>
      <c r="G19" s="57">
        <v>596</v>
      </c>
      <c r="H19" s="57">
        <v>150</v>
      </c>
      <c r="I19" s="48">
        <v>38940</v>
      </c>
      <c r="M19" t="s">
        <v>83</v>
      </c>
      <c r="N19">
        <f>SUM(N11,N17)</f>
        <v>34583</v>
      </c>
    </row>
    <row r="20" spans="1:19">
      <c r="A20" s="48" t="s">
        <v>61</v>
      </c>
      <c r="B20" s="48">
        <v>3439</v>
      </c>
      <c r="C20" s="48">
        <v>3042</v>
      </c>
      <c r="D20" s="63">
        <v>6481</v>
      </c>
      <c r="E20" s="48">
        <v>5654</v>
      </c>
      <c r="F20" s="48">
        <v>731</v>
      </c>
      <c r="G20" s="57">
        <v>96</v>
      </c>
      <c r="H20" s="57">
        <v>0</v>
      </c>
      <c r="I20" s="48">
        <v>6481</v>
      </c>
    </row>
    <row r="21" spans="1:19" ht="16" thickBot="1">
      <c r="A21" s="50" t="s">
        <v>62</v>
      </c>
      <c r="B21" s="50">
        <v>72259</v>
      </c>
      <c r="C21" s="50">
        <v>18239</v>
      </c>
      <c r="D21" s="65">
        <v>90498</v>
      </c>
      <c r="E21" s="50">
        <v>79466</v>
      </c>
      <c r="F21" s="50">
        <v>9204</v>
      </c>
      <c r="G21" s="59">
        <v>1662</v>
      </c>
      <c r="H21" s="60">
        <v>166</v>
      </c>
      <c r="I21" s="50">
        <v>90498</v>
      </c>
    </row>
    <row r="22" spans="1:19" ht="16" thickTop="1">
      <c r="D22" s="55"/>
      <c r="G22" s="61"/>
      <c r="H22" s="61"/>
    </row>
    <row r="23" spans="1:19">
      <c r="D23" s="55"/>
      <c r="G23" s="61"/>
      <c r="H23" s="61"/>
    </row>
    <row r="24" spans="1:19">
      <c r="A24" s="49" t="s">
        <v>71</v>
      </c>
      <c r="B24" s="49" t="s">
        <v>63</v>
      </c>
      <c r="C24" s="49" t="s">
        <v>64</v>
      </c>
      <c r="D24" s="56" t="s">
        <v>65</v>
      </c>
      <c r="E24" s="49" t="s">
        <v>66</v>
      </c>
      <c r="F24" s="49" t="s">
        <v>67</v>
      </c>
      <c r="G24" s="62" t="s">
        <v>68</v>
      </c>
      <c r="H24" s="62" t="s">
        <v>69</v>
      </c>
      <c r="I24" s="49" t="s">
        <v>70</v>
      </c>
      <c r="K24" s="49" t="s">
        <v>71</v>
      </c>
      <c r="L24" s="49" t="s">
        <v>63</v>
      </c>
      <c r="M24" s="49" t="s">
        <v>64</v>
      </c>
      <c r="N24" s="56" t="s">
        <v>65</v>
      </c>
      <c r="O24" s="49" t="s">
        <v>66</v>
      </c>
      <c r="P24" s="49" t="s">
        <v>67</v>
      </c>
      <c r="Q24" s="62" t="s">
        <v>68</v>
      </c>
      <c r="R24" s="62" t="s">
        <v>69</v>
      </c>
      <c r="S24" s="49" t="s">
        <v>70</v>
      </c>
    </row>
    <row r="25" spans="1:19" ht="16" thickBot="1">
      <c r="A25" s="48" t="s">
        <v>36</v>
      </c>
      <c r="B25" s="48"/>
      <c r="C25" s="48"/>
      <c r="D25" s="52"/>
      <c r="E25" s="48"/>
      <c r="F25" s="48"/>
      <c r="G25" s="57"/>
      <c r="H25" s="57"/>
      <c r="I25" s="48"/>
    </row>
    <row r="26" spans="1:19" ht="16" thickBot="1">
      <c r="A26" s="48" t="s">
        <v>47</v>
      </c>
      <c r="B26" s="48">
        <v>36</v>
      </c>
      <c r="C26" s="48">
        <v>1</v>
      </c>
      <c r="D26" s="52">
        <v>37</v>
      </c>
      <c r="E26" s="48">
        <v>5</v>
      </c>
      <c r="F26" s="48">
        <v>20</v>
      </c>
      <c r="G26" s="57">
        <v>12</v>
      </c>
      <c r="H26" s="57">
        <v>0</v>
      </c>
      <c r="I26" s="48">
        <v>37</v>
      </c>
      <c r="K26" s="71" t="s">
        <v>80</v>
      </c>
    </row>
    <row r="27" spans="1:19">
      <c r="A27" s="48" t="s">
        <v>48</v>
      </c>
      <c r="B27" s="48">
        <v>30</v>
      </c>
      <c r="C27" s="48">
        <v>0</v>
      </c>
      <c r="D27" s="52">
        <v>30</v>
      </c>
      <c r="E27" s="48">
        <v>2</v>
      </c>
      <c r="F27" s="48">
        <v>17</v>
      </c>
      <c r="G27" s="57">
        <v>11</v>
      </c>
      <c r="H27" s="57">
        <v>0</v>
      </c>
      <c r="I27" s="48">
        <v>30</v>
      </c>
      <c r="K27" s="48" t="s">
        <v>47</v>
      </c>
      <c r="L27" s="48">
        <v>36</v>
      </c>
      <c r="M27" s="48">
        <v>1</v>
      </c>
      <c r="N27" s="52">
        <v>37</v>
      </c>
      <c r="O27" s="48">
        <v>5</v>
      </c>
      <c r="P27" s="48">
        <v>20</v>
      </c>
      <c r="Q27" s="57">
        <v>12</v>
      </c>
      <c r="R27" s="57">
        <v>0</v>
      </c>
    </row>
    <row r="28" spans="1:19">
      <c r="A28" s="48" t="s">
        <v>49</v>
      </c>
      <c r="B28" s="48">
        <v>85</v>
      </c>
      <c r="C28" s="48">
        <v>2</v>
      </c>
      <c r="D28" s="52">
        <v>87</v>
      </c>
      <c r="E28" s="48">
        <v>14</v>
      </c>
      <c r="F28" s="48">
        <v>55</v>
      </c>
      <c r="G28" s="57">
        <v>19</v>
      </c>
      <c r="H28" s="57">
        <v>-1</v>
      </c>
      <c r="I28" s="48">
        <v>87</v>
      </c>
      <c r="K28" s="48" t="s">
        <v>50</v>
      </c>
      <c r="L28" s="48">
        <v>42</v>
      </c>
      <c r="M28" s="48">
        <v>5</v>
      </c>
      <c r="N28" s="52">
        <v>47</v>
      </c>
      <c r="O28" s="48">
        <v>8</v>
      </c>
      <c r="P28" s="48">
        <v>24</v>
      </c>
      <c r="Q28" s="57">
        <v>16</v>
      </c>
      <c r="R28" s="57">
        <v>-1</v>
      </c>
    </row>
    <row r="29" spans="1:19">
      <c r="A29" s="48" t="s">
        <v>50</v>
      </c>
      <c r="B29" s="48">
        <v>42</v>
      </c>
      <c r="C29" s="48">
        <v>5</v>
      </c>
      <c r="D29" s="52">
        <v>47</v>
      </c>
      <c r="E29" s="48">
        <v>8</v>
      </c>
      <c r="F29" s="48">
        <v>24</v>
      </c>
      <c r="G29" s="57">
        <v>16</v>
      </c>
      <c r="H29" s="57">
        <v>-1</v>
      </c>
      <c r="I29" s="48">
        <v>47</v>
      </c>
      <c r="K29" s="48" t="s">
        <v>51</v>
      </c>
      <c r="L29" s="48">
        <v>20</v>
      </c>
      <c r="M29" s="48">
        <v>1</v>
      </c>
      <c r="N29" s="52">
        <v>21</v>
      </c>
      <c r="O29" s="48">
        <v>6</v>
      </c>
      <c r="P29" s="48">
        <v>11</v>
      </c>
      <c r="Q29" s="57">
        <v>4</v>
      </c>
      <c r="R29" s="57">
        <v>0</v>
      </c>
    </row>
    <row r="30" spans="1:19">
      <c r="A30" s="48" t="s">
        <v>51</v>
      </c>
      <c r="B30" s="48">
        <v>20</v>
      </c>
      <c r="C30" s="48">
        <v>1</v>
      </c>
      <c r="D30" s="52">
        <v>21</v>
      </c>
      <c r="E30" s="48">
        <v>6</v>
      </c>
      <c r="F30" s="48">
        <v>11</v>
      </c>
      <c r="G30" s="57">
        <v>4</v>
      </c>
      <c r="H30" s="57">
        <v>0</v>
      </c>
      <c r="I30" s="48">
        <v>21</v>
      </c>
      <c r="K30" s="48" t="s">
        <v>56</v>
      </c>
      <c r="L30" s="48">
        <v>70</v>
      </c>
      <c r="M30" s="48">
        <v>4</v>
      </c>
      <c r="N30" s="52">
        <v>74</v>
      </c>
      <c r="O30" s="48">
        <v>5</v>
      </c>
      <c r="P30" s="48">
        <v>16</v>
      </c>
      <c r="Q30" s="57">
        <v>53</v>
      </c>
      <c r="R30" s="57">
        <v>0</v>
      </c>
    </row>
    <row r="31" spans="1:19">
      <c r="A31" s="48" t="s">
        <v>52</v>
      </c>
      <c r="B31" s="48">
        <v>34</v>
      </c>
      <c r="C31" s="48">
        <v>4</v>
      </c>
      <c r="D31" s="52">
        <v>38</v>
      </c>
      <c r="E31" s="48">
        <v>9</v>
      </c>
      <c r="F31" s="48">
        <v>16</v>
      </c>
      <c r="G31" s="57">
        <v>13</v>
      </c>
      <c r="H31" s="57">
        <v>0</v>
      </c>
      <c r="I31" s="48">
        <v>38</v>
      </c>
      <c r="K31" s="48" t="s">
        <v>57</v>
      </c>
      <c r="L31" s="48">
        <v>2</v>
      </c>
      <c r="M31" s="48">
        <v>0</v>
      </c>
      <c r="N31" s="52">
        <v>2</v>
      </c>
      <c r="O31" s="48">
        <v>1</v>
      </c>
      <c r="P31" s="48">
        <v>1</v>
      </c>
      <c r="Q31" s="57">
        <v>0</v>
      </c>
      <c r="R31" s="57">
        <v>0</v>
      </c>
    </row>
    <row r="32" spans="1:19" ht="16" thickBot="1">
      <c r="A32" s="48" t="s">
        <v>53</v>
      </c>
      <c r="B32" s="48">
        <v>31</v>
      </c>
      <c r="C32" s="48">
        <v>2</v>
      </c>
      <c r="D32" s="52">
        <v>33</v>
      </c>
      <c r="E32" s="48">
        <v>5</v>
      </c>
      <c r="F32" s="48">
        <v>14</v>
      </c>
      <c r="G32" s="57">
        <v>18</v>
      </c>
      <c r="H32" s="57">
        <v>-4</v>
      </c>
      <c r="I32" s="48">
        <v>33</v>
      </c>
      <c r="Q32">
        <f>SUM(Q27:Q31)</f>
        <v>85</v>
      </c>
      <c r="R32">
        <f>SUM(R27:R31)</f>
        <v>-1</v>
      </c>
    </row>
    <row r="33" spans="1:18" ht="16" thickBot="1">
      <c r="A33" s="48" t="s">
        <v>54</v>
      </c>
      <c r="B33" s="48">
        <v>58</v>
      </c>
      <c r="C33" s="48">
        <v>7</v>
      </c>
      <c r="D33" s="52">
        <v>65</v>
      </c>
      <c r="E33" s="48">
        <v>8</v>
      </c>
      <c r="F33" s="48">
        <v>37</v>
      </c>
      <c r="G33" s="57">
        <v>20</v>
      </c>
      <c r="H33" s="57">
        <v>0</v>
      </c>
      <c r="I33" s="48">
        <v>65</v>
      </c>
      <c r="K33" s="71" t="s">
        <v>80</v>
      </c>
    </row>
    <row r="34" spans="1:18">
      <c r="A34" s="48" t="s">
        <v>55</v>
      </c>
      <c r="B34" s="48">
        <v>26</v>
      </c>
      <c r="C34" s="48">
        <v>1</v>
      </c>
      <c r="D34" s="52">
        <v>27</v>
      </c>
      <c r="E34" s="48">
        <v>6</v>
      </c>
      <c r="F34" s="48">
        <v>9</v>
      </c>
      <c r="G34" s="57">
        <v>12</v>
      </c>
      <c r="H34" s="57">
        <v>0</v>
      </c>
      <c r="I34" s="48">
        <v>27</v>
      </c>
      <c r="K34" s="48" t="s">
        <v>49</v>
      </c>
      <c r="L34" s="48">
        <v>85</v>
      </c>
      <c r="M34" s="48">
        <v>2</v>
      </c>
      <c r="N34" s="52">
        <v>87</v>
      </c>
      <c r="O34" s="48">
        <v>14</v>
      </c>
      <c r="P34" s="48">
        <v>55</v>
      </c>
      <c r="Q34" s="57">
        <v>19</v>
      </c>
      <c r="R34" s="57">
        <v>-1</v>
      </c>
    </row>
    <row r="35" spans="1:18">
      <c r="A35" s="48" t="s">
        <v>56</v>
      </c>
      <c r="B35" s="48">
        <v>70</v>
      </c>
      <c r="C35" s="48">
        <v>4</v>
      </c>
      <c r="D35" s="52">
        <v>74</v>
      </c>
      <c r="E35" s="48">
        <v>5</v>
      </c>
      <c r="F35" s="48">
        <v>16</v>
      </c>
      <c r="G35" s="57">
        <v>53</v>
      </c>
      <c r="H35" s="57">
        <v>0</v>
      </c>
      <c r="I35" s="48">
        <v>74</v>
      </c>
      <c r="K35" s="48" t="s">
        <v>52</v>
      </c>
      <c r="L35" s="48">
        <v>34</v>
      </c>
      <c r="M35" s="48">
        <v>4</v>
      </c>
      <c r="N35" s="52">
        <v>38</v>
      </c>
      <c r="O35" s="48">
        <v>9</v>
      </c>
      <c r="P35" s="48">
        <v>16</v>
      </c>
      <c r="Q35" s="57">
        <v>13</v>
      </c>
      <c r="R35" s="57">
        <v>0</v>
      </c>
    </row>
    <row r="36" spans="1:18">
      <c r="A36" s="48" t="s">
        <v>57</v>
      </c>
      <c r="B36" s="48">
        <v>2</v>
      </c>
      <c r="C36" s="48">
        <v>0</v>
      </c>
      <c r="D36" s="52">
        <v>2</v>
      </c>
      <c r="E36" s="48">
        <v>1</v>
      </c>
      <c r="F36" s="48">
        <v>1</v>
      </c>
      <c r="G36" s="57">
        <v>0</v>
      </c>
      <c r="H36" s="57">
        <v>0</v>
      </c>
      <c r="I36" s="48">
        <v>2</v>
      </c>
      <c r="K36" s="48" t="s">
        <v>53</v>
      </c>
      <c r="L36" s="48">
        <v>31</v>
      </c>
      <c r="M36" s="48">
        <v>2</v>
      </c>
      <c r="N36" s="52">
        <v>33</v>
      </c>
      <c r="O36" s="48">
        <v>5</v>
      </c>
      <c r="P36" s="48">
        <v>14</v>
      </c>
      <c r="Q36" s="57">
        <v>18</v>
      </c>
      <c r="R36" s="57">
        <v>-4</v>
      </c>
    </row>
    <row r="37" spans="1:18">
      <c r="A37" s="51" t="s">
        <v>58</v>
      </c>
      <c r="B37" s="51">
        <v>404</v>
      </c>
      <c r="C37" s="51">
        <v>27</v>
      </c>
      <c r="D37" s="53">
        <v>431</v>
      </c>
      <c r="E37" s="51">
        <v>67</v>
      </c>
      <c r="F37" s="51">
        <v>203</v>
      </c>
      <c r="G37" s="58">
        <v>167</v>
      </c>
      <c r="H37" s="58">
        <v>-6</v>
      </c>
      <c r="I37" s="51">
        <v>431</v>
      </c>
      <c r="K37" s="48" t="s">
        <v>54</v>
      </c>
      <c r="L37" s="48">
        <v>58</v>
      </c>
      <c r="M37" s="48">
        <v>7</v>
      </c>
      <c r="N37" s="52">
        <v>65</v>
      </c>
      <c r="O37" s="48">
        <v>8</v>
      </c>
      <c r="P37" s="48">
        <v>37</v>
      </c>
      <c r="Q37" s="57">
        <v>20</v>
      </c>
      <c r="R37" s="57">
        <v>0</v>
      </c>
    </row>
    <row r="38" spans="1:18">
      <c r="A38" s="48" t="s">
        <v>59</v>
      </c>
      <c r="B38" s="48">
        <v>432</v>
      </c>
      <c r="C38" s="48">
        <v>14</v>
      </c>
      <c r="D38" s="52">
        <v>446</v>
      </c>
      <c r="E38" s="48">
        <v>83</v>
      </c>
      <c r="F38" s="48">
        <v>218</v>
      </c>
      <c r="G38" s="57">
        <v>145</v>
      </c>
      <c r="H38" s="57">
        <v>0</v>
      </c>
      <c r="I38" s="48">
        <v>446</v>
      </c>
      <c r="K38" s="48" t="s">
        <v>55</v>
      </c>
      <c r="L38" s="48">
        <v>26</v>
      </c>
      <c r="M38" s="48">
        <v>1</v>
      </c>
      <c r="N38" s="52">
        <v>27</v>
      </c>
      <c r="O38" s="48">
        <v>6</v>
      </c>
      <c r="P38" s="48">
        <v>9</v>
      </c>
      <c r="Q38" s="57">
        <v>12</v>
      </c>
      <c r="R38" s="57">
        <v>0</v>
      </c>
    </row>
    <row r="39" spans="1:18">
      <c r="A39" s="48" t="s">
        <v>60</v>
      </c>
      <c r="B39" s="48">
        <v>176</v>
      </c>
      <c r="C39" s="48">
        <v>0</v>
      </c>
      <c r="D39" s="52">
        <v>176</v>
      </c>
      <c r="E39" s="48">
        <v>13</v>
      </c>
      <c r="F39" s="48">
        <v>48</v>
      </c>
      <c r="G39" s="57">
        <v>125</v>
      </c>
      <c r="H39" s="57">
        <v>-10</v>
      </c>
      <c r="I39" s="48">
        <v>176</v>
      </c>
      <c r="Q39">
        <f>SUM(Q34:Q38)</f>
        <v>82</v>
      </c>
      <c r="R39">
        <f>SUM(R34:R38)</f>
        <v>-5</v>
      </c>
    </row>
    <row r="40" spans="1:18">
      <c r="A40" s="48" t="s">
        <v>61</v>
      </c>
      <c r="B40" s="48">
        <v>131</v>
      </c>
      <c r="C40" s="48">
        <v>7</v>
      </c>
      <c r="D40" s="52">
        <v>138</v>
      </c>
      <c r="E40" s="48">
        <v>23</v>
      </c>
      <c r="F40" s="48">
        <v>53</v>
      </c>
      <c r="G40" s="57">
        <v>62</v>
      </c>
      <c r="H40" s="57">
        <v>0</v>
      </c>
      <c r="I40" s="48">
        <v>138</v>
      </c>
    </row>
    <row r="41" spans="1:18" ht="16" thickBot="1">
      <c r="A41" s="50" t="s">
        <v>62</v>
      </c>
      <c r="B41" s="50">
        <v>1143</v>
      </c>
      <c r="C41" s="50">
        <v>48</v>
      </c>
      <c r="D41" s="54">
        <v>1191</v>
      </c>
      <c r="E41" s="50">
        <v>186</v>
      </c>
      <c r="F41" s="50">
        <v>522</v>
      </c>
      <c r="G41" s="60">
        <v>499</v>
      </c>
      <c r="H41" s="60">
        <v>-16</v>
      </c>
      <c r="I41" s="50">
        <v>1191</v>
      </c>
    </row>
    <row r="42" spans="1:18" ht="16" thickTop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387C-A39D-B246-A8F3-8E40AB278DB8}">
  <dimension ref="A1:T42"/>
  <sheetViews>
    <sheetView workbookViewId="0"/>
  </sheetViews>
  <sheetFormatPr baseColWidth="10" defaultRowHeight="15"/>
  <cols>
    <col min="1" max="1" width="33.5" customWidth="1"/>
    <col min="2" max="10" width="12.83203125" customWidth="1"/>
    <col min="12" max="12" width="29.33203125" customWidth="1"/>
  </cols>
  <sheetData>
    <row r="1" spans="1:19">
      <c r="A1" s="116" t="s">
        <v>186</v>
      </c>
    </row>
    <row r="3" spans="1:19" ht="16" thickBot="1">
      <c r="A3" s="49" t="s">
        <v>37</v>
      </c>
      <c r="B3" s="49" t="s">
        <v>38</v>
      </c>
      <c r="C3" s="49" t="s">
        <v>39</v>
      </c>
      <c r="D3" s="49" t="s">
        <v>40</v>
      </c>
      <c r="E3" s="49" t="s">
        <v>41</v>
      </c>
      <c r="F3" s="49" t="s">
        <v>42</v>
      </c>
      <c r="G3" s="49" t="s">
        <v>43</v>
      </c>
      <c r="H3" s="49" t="s">
        <v>44</v>
      </c>
      <c r="I3" s="49" t="s">
        <v>72</v>
      </c>
      <c r="J3" s="49" t="s">
        <v>46</v>
      </c>
      <c r="L3" s="70"/>
      <c r="M3" s="49" t="s">
        <v>38</v>
      </c>
      <c r="N3" s="49" t="s">
        <v>39</v>
      </c>
      <c r="O3" s="49" t="s">
        <v>40</v>
      </c>
      <c r="P3" s="49" t="s">
        <v>41</v>
      </c>
      <c r="Q3" s="49" t="s">
        <v>42</v>
      </c>
      <c r="R3" s="62" t="s">
        <v>43</v>
      </c>
      <c r="S3" s="62" t="s">
        <v>44</v>
      </c>
    </row>
    <row r="4" spans="1:19" ht="16" thickBot="1">
      <c r="A4" s="48" t="s">
        <v>36</v>
      </c>
      <c r="B4" s="48"/>
      <c r="C4" s="48"/>
      <c r="D4" s="48"/>
      <c r="E4" s="48"/>
      <c r="F4" s="48"/>
      <c r="G4" s="48"/>
      <c r="H4" s="48"/>
      <c r="I4" s="48"/>
      <c r="J4" s="48"/>
      <c r="L4" s="71" t="s">
        <v>81</v>
      </c>
    </row>
    <row r="5" spans="1:19">
      <c r="A5" s="48" t="s">
        <v>47</v>
      </c>
      <c r="B5" s="48">
        <v>4995</v>
      </c>
      <c r="C5" s="48">
        <v>2221</v>
      </c>
      <c r="D5" s="66">
        <v>7216</v>
      </c>
      <c r="E5" s="48">
        <v>6904</v>
      </c>
      <c r="F5" s="48">
        <v>294</v>
      </c>
      <c r="G5" s="66">
        <v>18</v>
      </c>
      <c r="H5" s="66">
        <v>0</v>
      </c>
      <c r="I5" s="48">
        <v>7216</v>
      </c>
      <c r="J5" s="48">
        <v>29</v>
      </c>
      <c r="L5" s="48" t="s">
        <v>47</v>
      </c>
      <c r="M5" s="48">
        <v>4995</v>
      </c>
      <c r="N5" s="48">
        <v>2221</v>
      </c>
      <c r="O5" s="48">
        <v>7216</v>
      </c>
      <c r="P5" s="48">
        <v>6904</v>
      </c>
      <c r="Q5" s="48">
        <v>294</v>
      </c>
      <c r="R5" s="66">
        <v>18</v>
      </c>
      <c r="S5" s="66">
        <v>0</v>
      </c>
    </row>
    <row r="6" spans="1:19">
      <c r="A6" s="48" t="s">
        <v>48</v>
      </c>
      <c r="B6" s="48">
        <v>4479</v>
      </c>
      <c r="C6" s="48">
        <v>1506</v>
      </c>
      <c r="D6" s="66">
        <v>5985</v>
      </c>
      <c r="E6" s="48">
        <v>5734</v>
      </c>
      <c r="F6" s="48">
        <v>248</v>
      </c>
      <c r="G6" s="66">
        <v>3</v>
      </c>
      <c r="H6" s="66">
        <v>0</v>
      </c>
      <c r="I6" s="48">
        <v>5985</v>
      </c>
      <c r="J6" s="48">
        <v>0</v>
      </c>
      <c r="L6" s="48" t="s">
        <v>50</v>
      </c>
      <c r="M6" s="48">
        <v>2753</v>
      </c>
      <c r="N6" s="48">
        <v>2234</v>
      </c>
      <c r="O6" s="48">
        <v>4987</v>
      </c>
      <c r="P6" s="48">
        <v>4409</v>
      </c>
      <c r="Q6" s="48">
        <v>537</v>
      </c>
      <c r="R6" s="66">
        <v>40</v>
      </c>
      <c r="S6" s="66">
        <v>1</v>
      </c>
    </row>
    <row r="7" spans="1:19">
      <c r="A7" s="48" t="s">
        <v>49</v>
      </c>
      <c r="B7" s="48">
        <v>2942</v>
      </c>
      <c r="C7" s="48">
        <v>490</v>
      </c>
      <c r="D7" s="66">
        <v>3432</v>
      </c>
      <c r="E7" s="48">
        <v>2706</v>
      </c>
      <c r="F7" s="48">
        <v>605</v>
      </c>
      <c r="G7" s="66">
        <v>118</v>
      </c>
      <c r="H7" s="66">
        <v>3</v>
      </c>
      <c r="I7" s="48">
        <v>3432</v>
      </c>
      <c r="J7" s="48">
        <v>0</v>
      </c>
      <c r="L7" s="48" t="s">
        <v>51</v>
      </c>
      <c r="M7" s="48">
        <v>1879</v>
      </c>
      <c r="N7" s="48">
        <v>358</v>
      </c>
      <c r="O7" s="48">
        <v>2237</v>
      </c>
      <c r="P7" s="48">
        <v>1774</v>
      </c>
      <c r="Q7" s="48">
        <v>442</v>
      </c>
      <c r="R7" s="66">
        <v>19</v>
      </c>
      <c r="S7" s="66">
        <v>2</v>
      </c>
    </row>
    <row r="8" spans="1:19">
      <c r="A8" s="48" t="s">
        <v>50</v>
      </c>
      <c r="B8" s="48">
        <v>2753</v>
      </c>
      <c r="C8" s="48">
        <v>2234</v>
      </c>
      <c r="D8" s="66">
        <v>4987</v>
      </c>
      <c r="E8" s="48">
        <v>4409</v>
      </c>
      <c r="F8" s="48">
        <v>537</v>
      </c>
      <c r="G8" s="66">
        <v>40</v>
      </c>
      <c r="H8" s="66">
        <v>1</v>
      </c>
      <c r="I8" s="48">
        <v>4987</v>
      </c>
      <c r="J8" s="48">
        <v>0</v>
      </c>
      <c r="L8" s="48" t="s">
        <v>56</v>
      </c>
      <c r="M8" s="48">
        <v>1450</v>
      </c>
      <c r="N8" s="48">
        <v>201</v>
      </c>
      <c r="O8" s="48">
        <v>1651</v>
      </c>
      <c r="P8" s="48">
        <v>1436</v>
      </c>
      <c r="Q8" s="48">
        <v>165</v>
      </c>
      <c r="R8" s="66">
        <v>50</v>
      </c>
      <c r="S8" s="66">
        <v>0</v>
      </c>
    </row>
    <row r="9" spans="1:19">
      <c r="A9" s="48" t="s">
        <v>51</v>
      </c>
      <c r="B9" s="48">
        <v>1879</v>
      </c>
      <c r="C9" s="48">
        <v>358</v>
      </c>
      <c r="D9" s="66">
        <v>2237</v>
      </c>
      <c r="E9" s="48">
        <v>1774</v>
      </c>
      <c r="F9" s="48">
        <v>442</v>
      </c>
      <c r="G9" s="66">
        <v>19</v>
      </c>
      <c r="H9" s="66">
        <v>2</v>
      </c>
      <c r="I9" s="48">
        <v>2237</v>
      </c>
      <c r="J9" s="48">
        <v>0</v>
      </c>
      <c r="L9" s="48" t="s">
        <v>57</v>
      </c>
      <c r="M9" s="48">
        <v>470</v>
      </c>
      <c r="N9" s="48">
        <v>1018</v>
      </c>
      <c r="O9" s="48">
        <v>1488</v>
      </c>
      <c r="P9" s="48">
        <v>1417</v>
      </c>
      <c r="Q9" s="48">
        <v>59</v>
      </c>
      <c r="R9" s="66">
        <v>12</v>
      </c>
      <c r="S9" s="66">
        <v>0</v>
      </c>
    </row>
    <row r="10" spans="1:19" ht="16" thickBot="1">
      <c r="A10" s="48" t="s">
        <v>52</v>
      </c>
      <c r="B10" s="48">
        <v>2250</v>
      </c>
      <c r="C10" s="48">
        <v>1311</v>
      </c>
      <c r="D10" s="66">
        <v>3561</v>
      </c>
      <c r="E10" s="48">
        <v>3156</v>
      </c>
      <c r="F10" s="48">
        <v>361</v>
      </c>
      <c r="G10" s="66">
        <v>41</v>
      </c>
      <c r="H10" s="66">
        <v>3</v>
      </c>
      <c r="I10" s="48">
        <v>3561</v>
      </c>
      <c r="J10" s="48">
        <v>0</v>
      </c>
      <c r="O10">
        <f>SUM(O5:O9)</f>
        <v>17579</v>
      </c>
      <c r="R10">
        <f>SUM(R5:R9)</f>
        <v>139</v>
      </c>
      <c r="S10">
        <f>SUM(S5:S9)</f>
        <v>3</v>
      </c>
    </row>
    <row r="11" spans="1:19" ht="16" thickBot="1">
      <c r="A11" s="48" t="s">
        <v>53</v>
      </c>
      <c r="B11" s="48">
        <v>1691</v>
      </c>
      <c r="C11" s="48">
        <v>685</v>
      </c>
      <c r="D11" s="66">
        <v>2376</v>
      </c>
      <c r="E11" s="48">
        <v>1875</v>
      </c>
      <c r="F11" s="48">
        <v>405</v>
      </c>
      <c r="G11" s="66">
        <v>89</v>
      </c>
      <c r="H11" s="66">
        <v>7</v>
      </c>
      <c r="I11" s="48">
        <v>2376</v>
      </c>
      <c r="J11" s="48">
        <v>0</v>
      </c>
      <c r="L11" s="71" t="s">
        <v>80</v>
      </c>
    </row>
    <row r="12" spans="1:19">
      <c r="A12" s="48" t="s">
        <v>54</v>
      </c>
      <c r="B12" s="48">
        <v>1895</v>
      </c>
      <c r="C12" s="48">
        <v>1916</v>
      </c>
      <c r="D12" s="66">
        <v>3811</v>
      </c>
      <c r="E12" s="48">
        <v>3126</v>
      </c>
      <c r="F12" s="48">
        <v>617</v>
      </c>
      <c r="G12" s="66">
        <v>63</v>
      </c>
      <c r="H12" s="66">
        <v>5</v>
      </c>
      <c r="I12" s="48">
        <v>3811</v>
      </c>
      <c r="J12" s="48">
        <v>17</v>
      </c>
      <c r="L12" s="48" t="s">
        <v>49</v>
      </c>
      <c r="M12" s="48">
        <v>2942</v>
      </c>
      <c r="N12" s="48">
        <v>490</v>
      </c>
      <c r="O12" s="48">
        <v>3432</v>
      </c>
      <c r="P12" s="48">
        <v>2706</v>
      </c>
      <c r="Q12" s="48">
        <v>605</v>
      </c>
      <c r="R12" s="66">
        <v>118</v>
      </c>
      <c r="S12" s="66">
        <v>3</v>
      </c>
    </row>
    <row r="13" spans="1:19">
      <c r="A13" s="48" t="s">
        <v>55</v>
      </c>
      <c r="B13" s="48">
        <v>1848</v>
      </c>
      <c r="C13" s="48">
        <v>699</v>
      </c>
      <c r="D13" s="66">
        <v>2547</v>
      </c>
      <c r="E13" s="48">
        <v>2226</v>
      </c>
      <c r="F13" s="48">
        <v>244</v>
      </c>
      <c r="G13" s="66">
        <v>77</v>
      </c>
      <c r="H13" s="66">
        <v>0</v>
      </c>
      <c r="I13" s="48">
        <v>2547</v>
      </c>
      <c r="J13" s="48">
        <v>0</v>
      </c>
      <c r="L13" s="48" t="s">
        <v>52</v>
      </c>
      <c r="M13" s="48">
        <v>2250</v>
      </c>
      <c r="N13" s="48">
        <v>1311</v>
      </c>
      <c r="O13" s="48">
        <v>3561</v>
      </c>
      <c r="P13" s="48">
        <v>3156</v>
      </c>
      <c r="Q13" s="48">
        <v>361</v>
      </c>
      <c r="R13" s="66">
        <v>41</v>
      </c>
      <c r="S13" s="66">
        <v>3</v>
      </c>
    </row>
    <row r="14" spans="1:19">
      <c r="A14" s="48" t="s">
        <v>56</v>
      </c>
      <c r="B14" s="48">
        <v>1450</v>
      </c>
      <c r="C14" s="48">
        <v>201</v>
      </c>
      <c r="D14" s="66">
        <v>1651</v>
      </c>
      <c r="E14" s="48">
        <v>1436</v>
      </c>
      <c r="F14" s="48">
        <v>165</v>
      </c>
      <c r="G14" s="66">
        <v>50</v>
      </c>
      <c r="H14" s="66">
        <v>0</v>
      </c>
      <c r="I14" s="48">
        <v>1651</v>
      </c>
      <c r="J14" s="48">
        <v>18</v>
      </c>
      <c r="L14" s="48" t="s">
        <v>53</v>
      </c>
      <c r="M14" s="48">
        <v>1691</v>
      </c>
      <c r="N14" s="48">
        <v>685</v>
      </c>
      <c r="O14" s="48">
        <v>2376</v>
      </c>
      <c r="P14" s="48">
        <v>1875</v>
      </c>
      <c r="Q14" s="48">
        <v>405</v>
      </c>
      <c r="R14" s="66">
        <v>89</v>
      </c>
      <c r="S14" s="66">
        <v>7</v>
      </c>
    </row>
    <row r="15" spans="1:19">
      <c r="A15" s="48" t="s">
        <v>57</v>
      </c>
      <c r="B15" s="48">
        <v>470</v>
      </c>
      <c r="C15" s="48">
        <v>1018</v>
      </c>
      <c r="D15" s="66">
        <v>1488</v>
      </c>
      <c r="E15" s="48">
        <v>1417</v>
      </c>
      <c r="F15" s="48">
        <v>59</v>
      </c>
      <c r="G15" s="66">
        <v>12</v>
      </c>
      <c r="H15" s="66">
        <v>0</v>
      </c>
      <c r="I15" s="48">
        <v>1488</v>
      </c>
      <c r="J15" s="48">
        <v>0</v>
      </c>
      <c r="L15" s="48" t="s">
        <v>54</v>
      </c>
      <c r="M15" s="48">
        <v>1895</v>
      </c>
      <c r="N15" s="48">
        <v>1916</v>
      </c>
      <c r="O15" s="48">
        <v>3811</v>
      </c>
      <c r="P15" s="48">
        <v>3126</v>
      </c>
      <c r="Q15" s="48">
        <v>617</v>
      </c>
      <c r="R15" s="66">
        <v>63</v>
      </c>
      <c r="S15" s="66">
        <v>5</v>
      </c>
    </row>
    <row r="16" spans="1:19">
      <c r="A16" s="51" t="s">
        <v>58</v>
      </c>
      <c r="B16" s="51">
        <v>22173</v>
      </c>
      <c r="C16" s="51">
        <v>11133</v>
      </c>
      <c r="D16" s="68">
        <v>33306</v>
      </c>
      <c r="E16" s="51">
        <v>29029</v>
      </c>
      <c r="F16" s="51">
        <v>3729</v>
      </c>
      <c r="G16" s="68">
        <v>527</v>
      </c>
      <c r="H16" s="68">
        <v>21</v>
      </c>
      <c r="I16" s="51">
        <v>33306</v>
      </c>
      <c r="J16" s="51">
        <v>64</v>
      </c>
      <c r="L16" s="48" t="s">
        <v>55</v>
      </c>
      <c r="M16" s="48">
        <v>1848</v>
      </c>
      <c r="N16" s="48">
        <v>699</v>
      </c>
      <c r="O16" s="48">
        <v>2547</v>
      </c>
      <c r="P16" s="48">
        <v>2226</v>
      </c>
      <c r="Q16" s="48">
        <v>244</v>
      </c>
      <c r="R16" s="66">
        <v>77</v>
      </c>
      <c r="S16" s="66">
        <v>0</v>
      </c>
    </row>
    <row r="17" spans="1:20">
      <c r="A17" s="48" t="s">
        <v>59</v>
      </c>
      <c r="B17" s="48">
        <v>8761</v>
      </c>
      <c r="C17" s="48">
        <v>2103</v>
      </c>
      <c r="D17" s="66">
        <v>10864</v>
      </c>
      <c r="E17" s="48">
        <v>7274</v>
      </c>
      <c r="F17" s="48">
        <v>3013</v>
      </c>
      <c r="G17" s="66">
        <v>574</v>
      </c>
      <c r="H17" s="66">
        <v>3</v>
      </c>
      <c r="I17" s="48">
        <v>10864</v>
      </c>
      <c r="J17" s="48">
        <v>0</v>
      </c>
      <c r="O17">
        <f>SUM(O12:O16)</f>
        <v>15727</v>
      </c>
      <c r="R17">
        <f>SUM(R12:R16)</f>
        <v>388</v>
      </c>
      <c r="S17">
        <f>SUM(S12:S16)</f>
        <v>18</v>
      </c>
    </row>
    <row r="18" spans="1:20">
      <c r="A18" s="48" t="s">
        <v>60</v>
      </c>
      <c r="B18" s="48">
        <v>36970</v>
      </c>
      <c r="C18" s="48">
        <v>1577</v>
      </c>
      <c r="D18" s="66">
        <v>38547</v>
      </c>
      <c r="E18" s="48">
        <v>35731</v>
      </c>
      <c r="F18" s="48">
        <v>1870</v>
      </c>
      <c r="G18" s="66">
        <v>776</v>
      </c>
      <c r="H18" s="66">
        <v>170</v>
      </c>
      <c r="I18" s="48">
        <v>38547</v>
      </c>
      <c r="J18" s="48">
        <v>0</v>
      </c>
    </row>
    <row r="19" spans="1:20">
      <c r="A19" s="48" t="s">
        <v>61</v>
      </c>
      <c r="B19" s="48">
        <v>3265</v>
      </c>
      <c r="C19" s="48">
        <v>2986</v>
      </c>
      <c r="D19" s="66">
        <v>6251</v>
      </c>
      <c r="E19" s="48">
        <v>5322</v>
      </c>
      <c r="F19" s="48">
        <v>820</v>
      </c>
      <c r="G19" s="66">
        <v>109</v>
      </c>
      <c r="H19" s="66">
        <v>0</v>
      </c>
      <c r="I19" s="48">
        <v>6251</v>
      </c>
      <c r="J19" s="48">
        <v>0</v>
      </c>
      <c r="O19">
        <f>SUM(O10,O17)</f>
        <v>33306</v>
      </c>
    </row>
    <row r="20" spans="1:20" ht="16" thickBot="1">
      <c r="A20" s="50" t="s">
        <v>62</v>
      </c>
      <c r="B20" s="50">
        <v>71169</v>
      </c>
      <c r="C20" s="50">
        <v>17799</v>
      </c>
      <c r="D20" s="67">
        <v>88968</v>
      </c>
      <c r="E20" s="50">
        <v>77356</v>
      </c>
      <c r="F20" s="50">
        <v>9432</v>
      </c>
      <c r="G20" s="67">
        <v>1986</v>
      </c>
      <c r="H20" s="67">
        <v>194</v>
      </c>
      <c r="I20" s="50">
        <v>88968</v>
      </c>
      <c r="J20" s="50">
        <v>64</v>
      </c>
    </row>
    <row r="21" spans="1:20" ht="16" thickTop="1"/>
    <row r="24" spans="1:20" ht="16" thickBot="1">
      <c r="A24" s="49" t="s">
        <v>71</v>
      </c>
      <c r="B24" s="49" t="s">
        <v>38</v>
      </c>
      <c r="C24" s="49" t="s">
        <v>39</v>
      </c>
      <c r="D24" s="49" t="s">
        <v>40</v>
      </c>
      <c r="E24" s="49" t="s">
        <v>41</v>
      </c>
      <c r="F24" s="49" t="s">
        <v>42</v>
      </c>
      <c r="G24" s="49" t="s">
        <v>43</v>
      </c>
      <c r="H24" s="49" t="s">
        <v>44</v>
      </c>
      <c r="I24" s="49" t="s">
        <v>72</v>
      </c>
      <c r="L24" s="49" t="s">
        <v>71</v>
      </c>
      <c r="M24" s="49" t="s">
        <v>38</v>
      </c>
      <c r="N24" s="49" t="s">
        <v>39</v>
      </c>
      <c r="O24" s="49" t="s">
        <v>40</v>
      </c>
      <c r="P24" s="49" t="s">
        <v>41</v>
      </c>
      <c r="Q24" s="49" t="s">
        <v>42</v>
      </c>
      <c r="R24" s="49" t="s">
        <v>43</v>
      </c>
      <c r="S24" s="49" t="s">
        <v>44</v>
      </c>
      <c r="T24" s="73"/>
    </row>
    <row r="25" spans="1:20" ht="16" thickBot="1">
      <c r="A25" s="48" t="s">
        <v>36</v>
      </c>
      <c r="B25" s="48"/>
      <c r="C25" s="48"/>
      <c r="D25" s="48"/>
      <c r="E25" s="48"/>
      <c r="F25" s="48"/>
      <c r="G25" s="48"/>
      <c r="H25" s="48"/>
      <c r="I25" s="48"/>
      <c r="L25" s="71" t="s">
        <v>81</v>
      </c>
    </row>
    <row r="26" spans="1:20">
      <c r="A26" s="48" t="s">
        <v>47</v>
      </c>
      <c r="B26" s="48">
        <v>32</v>
      </c>
      <c r="C26" s="48">
        <v>2</v>
      </c>
      <c r="D26" s="48">
        <v>34</v>
      </c>
      <c r="E26" s="48">
        <v>17</v>
      </c>
      <c r="F26" s="48">
        <v>15</v>
      </c>
      <c r="G26" s="66">
        <v>2</v>
      </c>
      <c r="H26" s="66">
        <v>0</v>
      </c>
      <c r="I26" s="48">
        <v>34</v>
      </c>
      <c r="L26" s="48" t="s">
        <v>47</v>
      </c>
      <c r="M26" s="48">
        <v>32</v>
      </c>
      <c r="N26" s="48">
        <v>2</v>
      </c>
      <c r="O26" s="48">
        <v>34</v>
      </c>
      <c r="P26" s="48">
        <v>17</v>
      </c>
      <c r="Q26" s="48">
        <v>15</v>
      </c>
      <c r="R26" s="66">
        <v>2</v>
      </c>
      <c r="S26" s="66">
        <v>0</v>
      </c>
    </row>
    <row r="27" spans="1:20">
      <c r="A27" s="48" t="s">
        <v>48</v>
      </c>
      <c r="B27" s="48">
        <v>23</v>
      </c>
      <c r="C27" s="48">
        <v>1</v>
      </c>
      <c r="D27" s="48">
        <v>24</v>
      </c>
      <c r="E27" s="48">
        <v>15</v>
      </c>
      <c r="F27" s="48">
        <v>9</v>
      </c>
      <c r="G27" s="66">
        <v>0</v>
      </c>
      <c r="H27" s="66">
        <v>0</v>
      </c>
      <c r="I27" s="48">
        <v>24</v>
      </c>
      <c r="L27" s="48" t="s">
        <v>50</v>
      </c>
      <c r="M27" s="48">
        <v>59</v>
      </c>
      <c r="N27" s="48">
        <v>6</v>
      </c>
      <c r="O27" s="48">
        <v>65</v>
      </c>
      <c r="P27" s="48">
        <v>10</v>
      </c>
      <c r="Q27" s="48">
        <v>36</v>
      </c>
      <c r="R27" s="66">
        <v>19</v>
      </c>
      <c r="S27" s="66">
        <v>0</v>
      </c>
    </row>
    <row r="28" spans="1:20">
      <c r="A28" s="48" t="s">
        <v>49</v>
      </c>
      <c r="B28" s="48">
        <v>86</v>
      </c>
      <c r="C28" s="48">
        <v>5</v>
      </c>
      <c r="D28" s="48">
        <v>91</v>
      </c>
      <c r="E28" s="48">
        <v>21</v>
      </c>
      <c r="F28" s="48">
        <v>38</v>
      </c>
      <c r="G28" s="66">
        <v>33</v>
      </c>
      <c r="H28" s="66">
        <v>-1</v>
      </c>
      <c r="I28" s="48">
        <v>91</v>
      </c>
      <c r="L28" s="48" t="s">
        <v>51</v>
      </c>
      <c r="M28" s="48">
        <v>51</v>
      </c>
      <c r="N28" s="48">
        <v>2</v>
      </c>
      <c r="O28" s="48">
        <v>53</v>
      </c>
      <c r="P28" s="48">
        <v>12</v>
      </c>
      <c r="Q28" s="48">
        <v>37</v>
      </c>
      <c r="R28" s="66">
        <v>5</v>
      </c>
      <c r="S28" s="66">
        <v>-1</v>
      </c>
    </row>
    <row r="29" spans="1:20">
      <c r="A29" s="48" t="s">
        <v>50</v>
      </c>
      <c r="B29" s="48">
        <v>59</v>
      </c>
      <c r="C29" s="48">
        <v>6</v>
      </c>
      <c r="D29" s="48">
        <v>65</v>
      </c>
      <c r="E29" s="48">
        <v>10</v>
      </c>
      <c r="F29" s="48">
        <v>36</v>
      </c>
      <c r="G29" s="66">
        <v>19</v>
      </c>
      <c r="H29" s="66">
        <v>0</v>
      </c>
      <c r="I29" s="48">
        <v>65</v>
      </c>
      <c r="L29" s="48" t="s">
        <v>56</v>
      </c>
      <c r="M29" s="48">
        <v>31</v>
      </c>
      <c r="N29" s="48">
        <v>1</v>
      </c>
      <c r="O29" s="48">
        <v>32</v>
      </c>
      <c r="P29" s="48">
        <v>8</v>
      </c>
      <c r="Q29" s="48">
        <v>13</v>
      </c>
      <c r="R29" s="66">
        <v>11</v>
      </c>
      <c r="S29" s="66">
        <v>0</v>
      </c>
    </row>
    <row r="30" spans="1:20">
      <c r="A30" s="48" t="s">
        <v>51</v>
      </c>
      <c r="B30" s="48">
        <v>51</v>
      </c>
      <c r="C30" s="48">
        <v>2</v>
      </c>
      <c r="D30" s="48">
        <v>53</v>
      </c>
      <c r="E30" s="48">
        <v>12</v>
      </c>
      <c r="F30" s="48">
        <v>37</v>
      </c>
      <c r="G30" s="66">
        <v>5</v>
      </c>
      <c r="H30" s="66">
        <v>-1</v>
      </c>
      <c r="I30" s="48">
        <v>53</v>
      </c>
      <c r="L30" s="48" t="s">
        <v>57</v>
      </c>
      <c r="M30" s="48">
        <v>14</v>
      </c>
      <c r="N30" s="48">
        <v>0</v>
      </c>
      <c r="O30" s="48">
        <v>14</v>
      </c>
      <c r="P30" s="48">
        <v>2</v>
      </c>
      <c r="Q30" s="48">
        <v>2</v>
      </c>
      <c r="R30" s="66">
        <v>10</v>
      </c>
      <c r="S30" s="66">
        <v>0</v>
      </c>
    </row>
    <row r="31" spans="1:20" ht="16" thickBot="1">
      <c r="A31" s="48" t="s">
        <v>52</v>
      </c>
      <c r="B31" s="48">
        <v>34</v>
      </c>
      <c r="C31" s="48">
        <v>4</v>
      </c>
      <c r="D31" s="48">
        <v>38</v>
      </c>
      <c r="E31" s="48">
        <v>10</v>
      </c>
      <c r="F31" s="48">
        <v>16</v>
      </c>
      <c r="G31" s="66">
        <v>12</v>
      </c>
      <c r="H31" s="66">
        <v>0</v>
      </c>
      <c r="I31" s="48">
        <v>38</v>
      </c>
      <c r="R31">
        <f>SUM(R26:R30)</f>
        <v>47</v>
      </c>
      <c r="S31">
        <f>SUM(S26:S30)</f>
        <v>-1</v>
      </c>
    </row>
    <row r="32" spans="1:20" ht="16" thickBot="1">
      <c r="A32" s="48" t="s">
        <v>53</v>
      </c>
      <c r="B32" s="48">
        <v>37</v>
      </c>
      <c r="C32" s="48">
        <v>3</v>
      </c>
      <c r="D32" s="48">
        <v>40</v>
      </c>
      <c r="E32" s="48">
        <v>5</v>
      </c>
      <c r="F32" s="48">
        <v>16</v>
      </c>
      <c r="G32" s="66">
        <v>23</v>
      </c>
      <c r="H32" s="66">
        <v>-4</v>
      </c>
      <c r="I32" s="48">
        <v>40</v>
      </c>
      <c r="L32" s="71" t="s">
        <v>80</v>
      </c>
    </row>
    <row r="33" spans="1:19">
      <c r="A33" s="48" t="s">
        <v>54</v>
      </c>
      <c r="B33" s="48">
        <v>56</v>
      </c>
      <c r="C33" s="48">
        <v>5</v>
      </c>
      <c r="D33" s="48">
        <v>61</v>
      </c>
      <c r="E33" s="48">
        <v>10</v>
      </c>
      <c r="F33" s="48">
        <v>31</v>
      </c>
      <c r="G33" s="66">
        <v>21</v>
      </c>
      <c r="H33" s="66">
        <v>-1</v>
      </c>
      <c r="I33" s="48">
        <v>61</v>
      </c>
      <c r="L33" s="48" t="s">
        <v>49</v>
      </c>
      <c r="M33" s="48">
        <v>86</v>
      </c>
      <c r="N33" s="48">
        <v>5</v>
      </c>
      <c r="O33" s="48">
        <v>91</v>
      </c>
      <c r="P33" s="48">
        <v>21</v>
      </c>
      <c r="Q33" s="48">
        <v>38</v>
      </c>
      <c r="R33" s="66">
        <v>33</v>
      </c>
      <c r="S33" s="66">
        <v>-1</v>
      </c>
    </row>
    <row r="34" spans="1:19">
      <c r="A34" s="48" t="s">
        <v>55</v>
      </c>
      <c r="B34" s="48">
        <v>73</v>
      </c>
      <c r="C34" s="48">
        <v>2</v>
      </c>
      <c r="D34" s="48">
        <v>75</v>
      </c>
      <c r="E34" s="48">
        <v>8</v>
      </c>
      <c r="F34" s="48">
        <v>7</v>
      </c>
      <c r="G34" s="66">
        <v>60</v>
      </c>
      <c r="H34" s="66">
        <v>0</v>
      </c>
      <c r="I34" s="48">
        <v>75</v>
      </c>
      <c r="L34" s="48" t="s">
        <v>52</v>
      </c>
      <c r="M34" s="48">
        <v>34</v>
      </c>
      <c r="N34" s="48">
        <v>4</v>
      </c>
      <c r="O34" s="48">
        <v>38</v>
      </c>
      <c r="P34" s="48">
        <v>10</v>
      </c>
      <c r="Q34" s="48">
        <v>16</v>
      </c>
      <c r="R34" s="66">
        <v>12</v>
      </c>
      <c r="S34" s="66">
        <v>0</v>
      </c>
    </row>
    <row r="35" spans="1:19">
      <c r="A35" s="48" t="s">
        <v>56</v>
      </c>
      <c r="B35" s="48">
        <v>31</v>
      </c>
      <c r="C35" s="48">
        <v>1</v>
      </c>
      <c r="D35" s="48">
        <v>32</v>
      </c>
      <c r="E35" s="48">
        <v>8</v>
      </c>
      <c r="F35" s="48">
        <v>13</v>
      </c>
      <c r="G35" s="66">
        <v>11</v>
      </c>
      <c r="H35" s="66">
        <v>0</v>
      </c>
      <c r="I35" s="48">
        <v>32</v>
      </c>
      <c r="L35" s="48" t="s">
        <v>53</v>
      </c>
      <c r="M35" s="48">
        <v>37</v>
      </c>
      <c r="N35" s="48">
        <v>3</v>
      </c>
      <c r="O35" s="48">
        <v>40</v>
      </c>
      <c r="P35" s="48">
        <v>5</v>
      </c>
      <c r="Q35" s="48">
        <v>16</v>
      </c>
      <c r="R35" s="66">
        <v>23</v>
      </c>
      <c r="S35" s="66">
        <v>-4</v>
      </c>
    </row>
    <row r="36" spans="1:19">
      <c r="A36" s="48" t="s">
        <v>57</v>
      </c>
      <c r="B36" s="48">
        <v>14</v>
      </c>
      <c r="C36" s="48">
        <v>0</v>
      </c>
      <c r="D36" s="48">
        <v>14</v>
      </c>
      <c r="E36" s="48">
        <v>2</v>
      </c>
      <c r="F36" s="48">
        <v>2</v>
      </c>
      <c r="G36" s="66">
        <v>10</v>
      </c>
      <c r="H36" s="66">
        <v>0</v>
      </c>
      <c r="I36" s="48">
        <v>14</v>
      </c>
      <c r="L36" s="48" t="s">
        <v>54</v>
      </c>
      <c r="M36" s="48">
        <v>56</v>
      </c>
      <c r="N36" s="48">
        <v>5</v>
      </c>
      <c r="O36" s="48">
        <v>61</v>
      </c>
      <c r="P36" s="48">
        <v>10</v>
      </c>
      <c r="Q36" s="48">
        <v>31</v>
      </c>
      <c r="R36" s="66">
        <v>21</v>
      </c>
      <c r="S36" s="66">
        <v>-1</v>
      </c>
    </row>
    <row r="37" spans="1:19">
      <c r="A37" s="51" t="s">
        <v>58</v>
      </c>
      <c r="B37" s="51">
        <v>473</v>
      </c>
      <c r="C37" s="51">
        <v>30</v>
      </c>
      <c r="D37" s="51">
        <v>503</v>
      </c>
      <c r="E37" s="51">
        <v>103</v>
      </c>
      <c r="F37" s="51">
        <v>211</v>
      </c>
      <c r="G37" s="68">
        <v>196</v>
      </c>
      <c r="H37" s="68">
        <v>-7</v>
      </c>
      <c r="I37" s="51">
        <v>503</v>
      </c>
      <c r="L37" s="48" t="s">
        <v>55</v>
      </c>
      <c r="M37" s="48">
        <v>73</v>
      </c>
      <c r="N37" s="48">
        <v>2</v>
      </c>
      <c r="O37" s="48">
        <v>75</v>
      </c>
      <c r="P37" s="48">
        <v>8</v>
      </c>
      <c r="Q37" s="48">
        <v>7</v>
      </c>
      <c r="R37" s="66">
        <v>60</v>
      </c>
      <c r="S37" s="66">
        <v>0</v>
      </c>
    </row>
    <row r="38" spans="1:19">
      <c r="A38" s="48" t="s">
        <v>59</v>
      </c>
      <c r="B38" s="48">
        <v>464</v>
      </c>
      <c r="C38" s="48">
        <v>20</v>
      </c>
      <c r="D38" s="48">
        <v>484</v>
      </c>
      <c r="E38" s="48">
        <v>67</v>
      </c>
      <c r="F38" s="48">
        <v>230</v>
      </c>
      <c r="G38" s="66">
        <v>188</v>
      </c>
      <c r="H38" s="66">
        <v>-1</v>
      </c>
      <c r="I38" s="48">
        <v>484</v>
      </c>
      <c r="R38">
        <f>SUM(R33:R37)</f>
        <v>149</v>
      </c>
      <c r="S38">
        <f>SUM(S33:S37)</f>
        <v>-6</v>
      </c>
    </row>
    <row r="39" spans="1:19">
      <c r="A39" s="48" t="s">
        <v>60</v>
      </c>
      <c r="B39" s="48">
        <v>270</v>
      </c>
      <c r="C39" s="48">
        <v>1</v>
      </c>
      <c r="D39" s="48">
        <v>271</v>
      </c>
      <c r="E39" s="48">
        <v>11</v>
      </c>
      <c r="F39" s="48">
        <v>53</v>
      </c>
      <c r="G39" s="66">
        <v>210</v>
      </c>
      <c r="H39" s="66">
        <v>-3</v>
      </c>
      <c r="I39" s="48">
        <v>271</v>
      </c>
    </row>
    <row r="40" spans="1:19">
      <c r="A40" s="48" t="s">
        <v>61</v>
      </c>
      <c r="B40" s="48">
        <v>137</v>
      </c>
      <c r="C40" s="48">
        <v>6</v>
      </c>
      <c r="D40" s="48">
        <v>143</v>
      </c>
      <c r="E40" s="48">
        <v>20</v>
      </c>
      <c r="F40" s="48">
        <v>57</v>
      </c>
      <c r="G40" s="66">
        <v>66</v>
      </c>
      <c r="H40" s="66">
        <v>0</v>
      </c>
      <c r="I40" s="48">
        <v>143</v>
      </c>
    </row>
    <row r="41" spans="1:19" ht="16" thickBot="1">
      <c r="A41" s="50" t="s">
        <v>62</v>
      </c>
      <c r="B41" s="50">
        <v>1344</v>
      </c>
      <c r="C41" s="50">
        <v>57</v>
      </c>
      <c r="D41" s="50">
        <v>1401</v>
      </c>
      <c r="E41" s="50">
        <v>201</v>
      </c>
      <c r="F41" s="50">
        <v>551</v>
      </c>
      <c r="G41" s="67">
        <v>660</v>
      </c>
      <c r="H41" s="67">
        <v>-11</v>
      </c>
      <c r="I41" s="50">
        <v>1401</v>
      </c>
    </row>
    <row r="42" spans="1:19" ht="16" thickTop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A6D0-6692-0848-8272-A0DC49993EDD}">
  <dimension ref="A1:T41"/>
  <sheetViews>
    <sheetView workbookViewId="0"/>
  </sheetViews>
  <sheetFormatPr baseColWidth="10" defaultRowHeight="15"/>
  <cols>
    <col min="1" max="1" width="33.33203125" customWidth="1"/>
    <col min="12" max="12" width="29" customWidth="1"/>
  </cols>
  <sheetData>
    <row r="1" spans="1:19">
      <c r="A1" s="116" t="s">
        <v>186</v>
      </c>
    </row>
    <row r="3" spans="1:19" ht="16" thickBot="1">
      <c r="A3" s="49" t="s">
        <v>37</v>
      </c>
      <c r="B3" s="49" t="s">
        <v>38</v>
      </c>
      <c r="C3" s="49" t="s">
        <v>39</v>
      </c>
      <c r="D3" s="49" t="s">
        <v>40</v>
      </c>
      <c r="E3" s="49" t="s">
        <v>41</v>
      </c>
      <c r="F3" s="49" t="s">
        <v>42</v>
      </c>
      <c r="G3" s="49" t="s">
        <v>43</v>
      </c>
      <c r="H3" s="49" t="s">
        <v>44</v>
      </c>
      <c r="I3" s="49" t="s">
        <v>72</v>
      </c>
      <c r="J3" s="49" t="s">
        <v>46</v>
      </c>
      <c r="L3" s="70"/>
      <c r="M3" s="49" t="s">
        <v>38</v>
      </c>
      <c r="N3" s="49" t="s">
        <v>39</v>
      </c>
      <c r="O3" s="49" t="s">
        <v>40</v>
      </c>
      <c r="P3" s="49" t="s">
        <v>41</v>
      </c>
      <c r="Q3" s="49" t="s">
        <v>42</v>
      </c>
      <c r="R3" s="62" t="s">
        <v>43</v>
      </c>
      <c r="S3" s="62" t="s">
        <v>44</v>
      </c>
    </row>
    <row r="4" spans="1:19" ht="16" thickBot="1">
      <c r="A4" s="48" t="s">
        <v>36</v>
      </c>
      <c r="B4" s="48"/>
      <c r="C4" s="48"/>
      <c r="D4" s="52"/>
      <c r="E4" s="48"/>
      <c r="F4" s="48"/>
      <c r="G4" s="48"/>
      <c r="H4" s="48"/>
      <c r="I4" s="48"/>
      <c r="J4" s="48"/>
      <c r="L4" s="71" t="s">
        <v>81</v>
      </c>
    </row>
    <row r="5" spans="1:19">
      <c r="A5" s="48" t="s">
        <v>47</v>
      </c>
      <c r="B5" s="48">
        <v>3610</v>
      </c>
      <c r="C5" s="48">
        <v>2113</v>
      </c>
      <c r="D5" s="63">
        <v>5723</v>
      </c>
      <c r="E5" s="48">
        <v>5502</v>
      </c>
      <c r="F5" s="48">
        <v>198</v>
      </c>
      <c r="G5" s="66">
        <v>23</v>
      </c>
      <c r="H5" s="66">
        <v>0</v>
      </c>
      <c r="I5" s="48">
        <v>5723</v>
      </c>
      <c r="J5" s="48">
        <v>27</v>
      </c>
      <c r="L5" s="48" t="s">
        <v>47</v>
      </c>
      <c r="M5" s="48">
        <v>3610</v>
      </c>
      <c r="N5" s="48">
        <v>2113</v>
      </c>
      <c r="O5" s="63">
        <v>5723</v>
      </c>
      <c r="P5" s="48">
        <v>5502</v>
      </c>
      <c r="Q5" s="48">
        <v>198</v>
      </c>
      <c r="R5" s="66">
        <v>23</v>
      </c>
      <c r="S5" s="66">
        <v>0</v>
      </c>
    </row>
    <row r="6" spans="1:19">
      <c r="A6" s="48" t="s">
        <v>48</v>
      </c>
      <c r="B6" s="48">
        <v>2907</v>
      </c>
      <c r="C6" s="48">
        <v>1133</v>
      </c>
      <c r="D6" s="63">
        <v>4040</v>
      </c>
      <c r="E6" s="48">
        <v>3960</v>
      </c>
      <c r="F6" s="48">
        <v>80</v>
      </c>
      <c r="G6" s="66">
        <v>0</v>
      </c>
      <c r="H6" s="66">
        <v>0</v>
      </c>
      <c r="I6" s="48">
        <v>4040</v>
      </c>
      <c r="J6" s="48">
        <v>0</v>
      </c>
      <c r="L6" s="48" t="s">
        <v>50</v>
      </c>
      <c r="M6" s="48">
        <v>2519</v>
      </c>
      <c r="N6" s="48">
        <v>2179</v>
      </c>
      <c r="O6" s="63">
        <v>4698</v>
      </c>
      <c r="P6" s="48">
        <v>4281</v>
      </c>
      <c r="Q6" s="48">
        <v>375</v>
      </c>
      <c r="R6" s="66">
        <v>40</v>
      </c>
      <c r="S6" s="66">
        <v>2</v>
      </c>
    </row>
    <row r="7" spans="1:19">
      <c r="A7" s="48" t="s">
        <v>49</v>
      </c>
      <c r="B7" s="48">
        <v>2666</v>
      </c>
      <c r="C7" s="48">
        <v>555</v>
      </c>
      <c r="D7" s="63">
        <v>3221</v>
      </c>
      <c r="E7" s="48">
        <v>2428</v>
      </c>
      <c r="F7" s="48">
        <v>603</v>
      </c>
      <c r="G7" s="66">
        <v>185</v>
      </c>
      <c r="H7" s="66">
        <v>5</v>
      </c>
      <c r="I7" s="48">
        <v>3221</v>
      </c>
      <c r="J7" s="48">
        <v>0</v>
      </c>
      <c r="L7" s="48" t="s">
        <v>51</v>
      </c>
      <c r="M7" s="48">
        <v>2032</v>
      </c>
      <c r="N7" s="48">
        <v>385</v>
      </c>
      <c r="O7" s="63">
        <v>2417</v>
      </c>
      <c r="P7" s="48">
        <v>1928</v>
      </c>
      <c r="Q7" s="48">
        <v>448</v>
      </c>
      <c r="R7" s="66">
        <v>39</v>
      </c>
      <c r="S7" s="66">
        <v>2</v>
      </c>
    </row>
    <row r="8" spans="1:19">
      <c r="A8" s="48" t="s">
        <v>50</v>
      </c>
      <c r="B8" s="48">
        <v>2519</v>
      </c>
      <c r="C8" s="48">
        <v>2179</v>
      </c>
      <c r="D8" s="63">
        <v>4698</v>
      </c>
      <c r="E8" s="48">
        <v>4281</v>
      </c>
      <c r="F8" s="48">
        <v>375</v>
      </c>
      <c r="G8" s="66">
        <v>40</v>
      </c>
      <c r="H8" s="66">
        <v>2</v>
      </c>
      <c r="I8" s="48">
        <v>4698</v>
      </c>
      <c r="J8" s="48">
        <v>0</v>
      </c>
      <c r="L8" s="48" t="s">
        <v>56</v>
      </c>
      <c r="M8" s="48">
        <v>1394</v>
      </c>
      <c r="N8" s="48">
        <v>332</v>
      </c>
      <c r="O8" s="63">
        <v>1726</v>
      </c>
      <c r="P8" s="48">
        <v>1621</v>
      </c>
      <c r="Q8" s="48">
        <v>93</v>
      </c>
      <c r="R8" s="66">
        <v>12</v>
      </c>
      <c r="S8" s="66">
        <v>0</v>
      </c>
    </row>
    <row r="9" spans="1:19">
      <c r="A9" s="48" t="s">
        <v>51</v>
      </c>
      <c r="B9" s="48">
        <v>2032</v>
      </c>
      <c r="C9" s="48">
        <v>385</v>
      </c>
      <c r="D9" s="63">
        <v>2417</v>
      </c>
      <c r="E9" s="48">
        <v>1928</v>
      </c>
      <c r="F9" s="48">
        <v>448</v>
      </c>
      <c r="G9" s="66">
        <v>39</v>
      </c>
      <c r="H9" s="66">
        <v>2</v>
      </c>
      <c r="I9" s="48">
        <v>2417</v>
      </c>
      <c r="J9" s="48">
        <v>0</v>
      </c>
      <c r="L9" s="48" t="s">
        <v>57</v>
      </c>
      <c r="M9" s="48">
        <v>506</v>
      </c>
      <c r="N9" s="48">
        <v>891</v>
      </c>
      <c r="O9" s="63">
        <v>1397</v>
      </c>
      <c r="P9" s="48">
        <v>1360</v>
      </c>
      <c r="Q9" s="48">
        <v>26</v>
      </c>
      <c r="R9" s="66">
        <v>11</v>
      </c>
      <c r="S9" s="66">
        <v>0</v>
      </c>
    </row>
    <row r="10" spans="1:19" ht="16" thickBot="1">
      <c r="A10" s="48" t="s">
        <v>52</v>
      </c>
      <c r="B10" s="48">
        <v>2064</v>
      </c>
      <c r="C10" s="48">
        <v>1333</v>
      </c>
      <c r="D10" s="63">
        <v>3397</v>
      </c>
      <c r="E10" s="48">
        <v>3103</v>
      </c>
      <c r="F10" s="48">
        <v>247</v>
      </c>
      <c r="G10" s="66">
        <v>43</v>
      </c>
      <c r="H10" s="66">
        <v>4</v>
      </c>
      <c r="I10" s="48">
        <v>3397</v>
      </c>
      <c r="J10" s="48">
        <v>0</v>
      </c>
      <c r="O10">
        <f>SUM(O5:O9)</f>
        <v>15961</v>
      </c>
      <c r="R10">
        <f>SUM(R5:R9)</f>
        <v>125</v>
      </c>
      <c r="S10">
        <f>SUM(S5:S9)</f>
        <v>4</v>
      </c>
    </row>
    <row r="11" spans="1:19" ht="16" thickBot="1">
      <c r="A11" s="48" t="s">
        <v>53</v>
      </c>
      <c r="B11" s="48">
        <v>1780</v>
      </c>
      <c r="C11" s="48">
        <v>707</v>
      </c>
      <c r="D11" s="63">
        <v>2487</v>
      </c>
      <c r="E11" s="48">
        <v>2071</v>
      </c>
      <c r="F11" s="48">
        <v>323</v>
      </c>
      <c r="G11" s="66">
        <v>84</v>
      </c>
      <c r="H11" s="66">
        <v>9</v>
      </c>
      <c r="I11" s="48">
        <v>2487</v>
      </c>
      <c r="J11" s="48">
        <v>0</v>
      </c>
      <c r="L11" s="71" t="s">
        <v>80</v>
      </c>
    </row>
    <row r="12" spans="1:19">
      <c r="A12" s="48" t="s">
        <v>54</v>
      </c>
      <c r="B12" s="48">
        <v>1747</v>
      </c>
      <c r="C12" s="48">
        <v>1516</v>
      </c>
      <c r="D12" s="63">
        <v>3263</v>
      </c>
      <c r="E12" s="48">
        <v>2915</v>
      </c>
      <c r="F12" s="48">
        <v>279</v>
      </c>
      <c r="G12" s="66">
        <v>63</v>
      </c>
      <c r="H12" s="66">
        <v>6</v>
      </c>
      <c r="I12" s="48">
        <v>3263</v>
      </c>
      <c r="J12" s="48">
        <v>15</v>
      </c>
      <c r="L12" s="48" t="s">
        <v>49</v>
      </c>
      <c r="M12" s="48">
        <v>2666</v>
      </c>
      <c r="N12" s="48">
        <v>555</v>
      </c>
      <c r="O12" s="63">
        <v>3221</v>
      </c>
      <c r="P12" s="48">
        <v>2428</v>
      </c>
      <c r="Q12" s="48">
        <v>603</v>
      </c>
      <c r="R12" s="66">
        <v>185</v>
      </c>
      <c r="S12" s="66">
        <v>5</v>
      </c>
    </row>
    <row r="13" spans="1:19">
      <c r="A13" s="48" t="s">
        <v>55</v>
      </c>
      <c r="B13" s="48">
        <v>1710</v>
      </c>
      <c r="C13" s="48">
        <v>596</v>
      </c>
      <c r="D13" s="63">
        <v>2306</v>
      </c>
      <c r="E13" s="48">
        <v>2094</v>
      </c>
      <c r="F13" s="48">
        <v>171</v>
      </c>
      <c r="G13" s="66">
        <v>40</v>
      </c>
      <c r="H13" s="66">
        <v>1</v>
      </c>
      <c r="I13" s="48">
        <v>2306</v>
      </c>
      <c r="J13" s="48">
        <v>0</v>
      </c>
      <c r="L13" s="48" t="s">
        <v>52</v>
      </c>
      <c r="M13" s="48">
        <v>2064</v>
      </c>
      <c r="N13" s="48">
        <v>1333</v>
      </c>
      <c r="O13" s="63">
        <v>3397</v>
      </c>
      <c r="P13" s="48">
        <v>3103</v>
      </c>
      <c r="Q13" s="48">
        <v>247</v>
      </c>
      <c r="R13" s="66">
        <v>43</v>
      </c>
      <c r="S13" s="66">
        <v>4</v>
      </c>
    </row>
    <row r="14" spans="1:19">
      <c r="A14" s="48" t="s">
        <v>56</v>
      </c>
      <c r="B14" s="48">
        <v>1394</v>
      </c>
      <c r="C14" s="48">
        <v>332</v>
      </c>
      <c r="D14" s="63">
        <v>1726</v>
      </c>
      <c r="E14" s="48">
        <v>1621</v>
      </c>
      <c r="F14" s="48">
        <v>93</v>
      </c>
      <c r="G14" s="66">
        <v>12</v>
      </c>
      <c r="H14" s="66">
        <v>0</v>
      </c>
      <c r="I14" s="48">
        <v>1726</v>
      </c>
      <c r="J14" s="48">
        <v>0</v>
      </c>
      <c r="L14" s="48" t="s">
        <v>53</v>
      </c>
      <c r="M14" s="48">
        <v>1780</v>
      </c>
      <c r="N14" s="48">
        <v>707</v>
      </c>
      <c r="O14" s="63">
        <v>2487</v>
      </c>
      <c r="P14" s="48">
        <v>2071</v>
      </c>
      <c r="Q14" s="48">
        <v>323</v>
      </c>
      <c r="R14" s="66">
        <v>84</v>
      </c>
      <c r="S14" s="66">
        <v>9</v>
      </c>
    </row>
    <row r="15" spans="1:19">
      <c r="A15" s="48" t="s">
        <v>57</v>
      </c>
      <c r="B15" s="48">
        <v>506</v>
      </c>
      <c r="C15" s="48">
        <v>891</v>
      </c>
      <c r="D15" s="63">
        <v>1397</v>
      </c>
      <c r="E15" s="48">
        <v>1360</v>
      </c>
      <c r="F15" s="48">
        <v>26</v>
      </c>
      <c r="G15" s="66">
        <v>11</v>
      </c>
      <c r="H15" s="66">
        <v>0</v>
      </c>
      <c r="I15" s="48">
        <v>1397</v>
      </c>
      <c r="J15" s="48">
        <v>0</v>
      </c>
      <c r="L15" s="48" t="s">
        <v>54</v>
      </c>
      <c r="M15" s="48">
        <v>1747</v>
      </c>
      <c r="N15" s="48">
        <v>1516</v>
      </c>
      <c r="O15" s="63">
        <v>3263</v>
      </c>
      <c r="P15" s="48">
        <v>2915</v>
      </c>
      <c r="Q15" s="48">
        <v>279</v>
      </c>
      <c r="R15" s="66">
        <v>63</v>
      </c>
      <c r="S15" s="66">
        <v>6</v>
      </c>
    </row>
    <row r="16" spans="1:19">
      <c r="A16" s="51" t="s">
        <v>58</v>
      </c>
      <c r="B16" s="51">
        <v>20028</v>
      </c>
      <c r="C16" s="51">
        <v>10607</v>
      </c>
      <c r="D16" s="64">
        <v>30635</v>
      </c>
      <c r="E16" s="51">
        <v>27303</v>
      </c>
      <c r="F16" s="51">
        <v>2763</v>
      </c>
      <c r="G16" s="68">
        <v>540</v>
      </c>
      <c r="H16" s="68">
        <v>29</v>
      </c>
      <c r="I16" s="51">
        <v>30635</v>
      </c>
      <c r="J16" s="51">
        <v>42</v>
      </c>
      <c r="L16" s="48" t="s">
        <v>55</v>
      </c>
      <c r="M16" s="48">
        <v>1710</v>
      </c>
      <c r="N16" s="48">
        <v>596</v>
      </c>
      <c r="O16" s="63">
        <v>2306</v>
      </c>
      <c r="P16" s="48">
        <v>2094</v>
      </c>
      <c r="Q16" s="48">
        <v>171</v>
      </c>
      <c r="R16" s="66">
        <v>40</v>
      </c>
      <c r="S16" s="66">
        <v>1</v>
      </c>
    </row>
    <row r="17" spans="1:20">
      <c r="A17" s="48" t="s">
        <v>59</v>
      </c>
      <c r="B17" s="48">
        <v>9237</v>
      </c>
      <c r="C17" s="48">
        <v>2224</v>
      </c>
      <c r="D17" s="63">
        <v>11461</v>
      </c>
      <c r="E17" s="48">
        <v>7504</v>
      </c>
      <c r="F17" s="48">
        <v>3270</v>
      </c>
      <c r="G17" s="66">
        <v>683</v>
      </c>
      <c r="H17" s="66">
        <v>4</v>
      </c>
      <c r="I17" s="48">
        <v>11461</v>
      </c>
      <c r="J17" s="48">
        <v>0</v>
      </c>
      <c r="O17">
        <f>SUM(O12:O16)</f>
        <v>14674</v>
      </c>
      <c r="R17">
        <f>SUM(R12:R16)</f>
        <v>415</v>
      </c>
      <c r="S17">
        <f>SUM(S12:S16)</f>
        <v>25</v>
      </c>
    </row>
    <row r="18" spans="1:20">
      <c r="A18" s="48" t="s">
        <v>60</v>
      </c>
      <c r="B18" s="48">
        <v>34764</v>
      </c>
      <c r="C18" s="48">
        <v>1236</v>
      </c>
      <c r="D18" s="63">
        <v>36000</v>
      </c>
      <c r="E18" s="48">
        <v>32817</v>
      </c>
      <c r="F18" s="48">
        <v>2390</v>
      </c>
      <c r="G18" s="66">
        <v>695</v>
      </c>
      <c r="H18" s="66">
        <v>98</v>
      </c>
      <c r="I18" s="48">
        <v>36000</v>
      </c>
      <c r="J18" s="48">
        <v>0</v>
      </c>
    </row>
    <row r="19" spans="1:20">
      <c r="A19" s="48" t="s">
        <v>61</v>
      </c>
      <c r="B19" s="48">
        <v>2940</v>
      </c>
      <c r="C19" s="48">
        <v>2926</v>
      </c>
      <c r="D19" s="63">
        <v>5866</v>
      </c>
      <c r="E19" s="48">
        <v>5339</v>
      </c>
      <c r="F19" s="48">
        <v>437</v>
      </c>
      <c r="G19" s="66">
        <v>90</v>
      </c>
      <c r="H19" s="66">
        <v>0</v>
      </c>
      <c r="I19" s="48">
        <v>5866</v>
      </c>
      <c r="J19" s="48">
        <v>0</v>
      </c>
      <c r="O19">
        <f>O10+O17</f>
        <v>30635</v>
      </c>
    </row>
    <row r="20" spans="1:20" ht="16" thickBot="1">
      <c r="A20" s="50" t="s">
        <v>62</v>
      </c>
      <c r="B20" s="50">
        <v>66969</v>
      </c>
      <c r="C20" s="50">
        <v>16993</v>
      </c>
      <c r="D20" s="65">
        <v>83962</v>
      </c>
      <c r="E20" s="50">
        <v>72963</v>
      </c>
      <c r="F20" s="50">
        <v>8860</v>
      </c>
      <c r="G20" s="67">
        <v>2008</v>
      </c>
      <c r="H20" s="67">
        <v>131</v>
      </c>
      <c r="I20" s="50">
        <v>83962</v>
      </c>
      <c r="J20" s="50">
        <v>42</v>
      </c>
    </row>
    <row r="21" spans="1:20" ht="16" thickTop="1">
      <c r="D21" s="55"/>
    </row>
    <row r="22" spans="1:20">
      <c r="D22" s="55"/>
    </row>
    <row r="23" spans="1:20" ht="16" thickBot="1">
      <c r="A23" s="49" t="s">
        <v>71</v>
      </c>
      <c r="B23" s="49" t="s">
        <v>63</v>
      </c>
      <c r="C23" s="49" t="s">
        <v>64</v>
      </c>
      <c r="D23" s="56" t="s">
        <v>65</v>
      </c>
      <c r="E23" s="49" t="s">
        <v>66</v>
      </c>
      <c r="F23" s="49" t="s">
        <v>67</v>
      </c>
      <c r="G23" s="49" t="s">
        <v>68</v>
      </c>
      <c r="H23" s="49" t="s">
        <v>69</v>
      </c>
      <c r="I23" s="49" t="s">
        <v>73</v>
      </c>
      <c r="L23" s="49" t="s">
        <v>71</v>
      </c>
      <c r="M23" s="49" t="s">
        <v>63</v>
      </c>
      <c r="N23" s="49" t="s">
        <v>64</v>
      </c>
      <c r="O23" s="56" t="s">
        <v>65</v>
      </c>
      <c r="P23" s="49" t="s">
        <v>66</v>
      </c>
      <c r="Q23" s="49" t="s">
        <v>67</v>
      </c>
      <c r="R23" s="49" t="s">
        <v>68</v>
      </c>
      <c r="S23" s="49" t="s">
        <v>69</v>
      </c>
      <c r="T23" s="49" t="s">
        <v>73</v>
      </c>
    </row>
    <row r="24" spans="1:20" ht="16" thickBot="1">
      <c r="A24" s="48" t="s">
        <v>36</v>
      </c>
      <c r="B24" s="48"/>
      <c r="C24" s="48"/>
      <c r="D24" s="52"/>
      <c r="E24" s="48"/>
      <c r="F24" s="48"/>
      <c r="G24" s="48"/>
      <c r="H24" s="48"/>
      <c r="I24" s="48"/>
      <c r="L24" s="71" t="s">
        <v>81</v>
      </c>
    </row>
    <row r="25" spans="1:20">
      <c r="A25" s="48" t="s">
        <v>47</v>
      </c>
      <c r="B25" s="48">
        <v>40</v>
      </c>
      <c r="C25" s="48">
        <v>3</v>
      </c>
      <c r="D25" s="52">
        <v>43</v>
      </c>
      <c r="E25" s="48">
        <v>17</v>
      </c>
      <c r="F25" s="48">
        <v>12</v>
      </c>
      <c r="G25" s="66">
        <v>14</v>
      </c>
      <c r="H25" s="66">
        <v>0</v>
      </c>
      <c r="I25" s="48">
        <v>43</v>
      </c>
      <c r="L25" s="48" t="s">
        <v>47</v>
      </c>
      <c r="M25" s="48">
        <v>40</v>
      </c>
      <c r="N25" s="48">
        <v>3</v>
      </c>
      <c r="O25" s="52">
        <v>43</v>
      </c>
      <c r="P25" s="48">
        <v>17</v>
      </c>
      <c r="Q25" s="48">
        <v>12</v>
      </c>
      <c r="R25" s="66">
        <v>14</v>
      </c>
      <c r="S25" s="66">
        <v>0</v>
      </c>
      <c r="T25" s="48">
        <v>43</v>
      </c>
    </row>
    <row r="26" spans="1:20">
      <c r="A26" s="48" t="s">
        <v>48</v>
      </c>
      <c r="B26" s="48">
        <v>17</v>
      </c>
      <c r="C26" s="48">
        <v>2</v>
      </c>
      <c r="D26" s="52">
        <v>19</v>
      </c>
      <c r="E26" s="48">
        <v>13</v>
      </c>
      <c r="F26" s="48">
        <v>6</v>
      </c>
      <c r="G26" s="66">
        <v>0</v>
      </c>
      <c r="H26" s="66">
        <v>0</v>
      </c>
      <c r="I26" s="48">
        <v>19</v>
      </c>
      <c r="L26" s="48" t="s">
        <v>50</v>
      </c>
      <c r="M26" s="48">
        <v>58</v>
      </c>
      <c r="N26" s="48">
        <v>5</v>
      </c>
      <c r="O26" s="52">
        <v>63</v>
      </c>
      <c r="P26" s="48">
        <v>13</v>
      </c>
      <c r="Q26" s="48">
        <v>32</v>
      </c>
      <c r="R26" s="66">
        <v>18</v>
      </c>
      <c r="S26" s="66">
        <v>0</v>
      </c>
    </row>
    <row r="27" spans="1:20">
      <c r="A27" s="48" t="s">
        <v>49</v>
      </c>
      <c r="B27" s="48">
        <v>168</v>
      </c>
      <c r="C27" s="48">
        <v>3</v>
      </c>
      <c r="D27" s="52">
        <v>171</v>
      </c>
      <c r="E27" s="48">
        <v>19</v>
      </c>
      <c r="F27" s="48">
        <v>107</v>
      </c>
      <c r="G27" s="66">
        <v>46</v>
      </c>
      <c r="H27" s="66">
        <v>-1</v>
      </c>
      <c r="I27" s="48">
        <v>171</v>
      </c>
      <c r="L27" s="48" t="s">
        <v>51</v>
      </c>
      <c r="M27" s="48">
        <v>83</v>
      </c>
      <c r="N27" s="48">
        <v>2</v>
      </c>
      <c r="O27" s="52">
        <v>85</v>
      </c>
      <c r="P27" s="48">
        <v>34</v>
      </c>
      <c r="Q27" s="48">
        <v>41</v>
      </c>
      <c r="R27" s="66">
        <v>12</v>
      </c>
      <c r="S27" s="66">
        <v>-2</v>
      </c>
    </row>
    <row r="28" spans="1:20">
      <c r="A28" s="48" t="s">
        <v>50</v>
      </c>
      <c r="B28" s="48">
        <v>58</v>
      </c>
      <c r="C28" s="48">
        <v>5</v>
      </c>
      <c r="D28" s="52">
        <v>63</v>
      </c>
      <c r="E28" s="48">
        <v>13</v>
      </c>
      <c r="F28" s="48">
        <v>32</v>
      </c>
      <c r="G28" s="66">
        <v>18</v>
      </c>
      <c r="H28" s="66">
        <v>0</v>
      </c>
      <c r="I28" s="48">
        <v>63</v>
      </c>
      <c r="L28" s="48" t="s">
        <v>56</v>
      </c>
      <c r="M28" s="48">
        <v>22</v>
      </c>
      <c r="N28" s="48">
        <v>1</v>
      </c>
      <c r="O28" s="52">
        <v>23</v>
      </c>
      <c r="P28" s="48">
        <v>9</v>
      </c>
      <c r="Q28" s="48">
        <v>9</v>
      </c>
      <c r="R28" s="66">
        <v>5</v>
      </c>
      <c r="S28" s="66">
        <v>0</v>
      </c>
    </row>
    <row r="29" spans="1:20">
      <c r="A29" s="48" t="s">
        <v>51</v>
      </c>
      <c r="B29" s="48">
        <v>83</v>
      </c>
      <c r="C29" s="48">
        <v>2</v>
      </c>
      <c r="D29" s="52">
        <v>85</v>
      </c>
      <c r="E29" s="48">
        <v>34</v>
      </c>
      <c r="F29" s="48">
        <v>41</v>
      </c>
      <c r="G29" s="66">
        <v>12</v>
      </c>
      <c r="H29" s="66">
        <v>-2</v>
      </c>
      <c r="I29" s="48">
        <v>85</v>
      </c>
      <c r="L29" s="48" t="s">
        <v>57</v>
      </c>
      <c r="M29" s="48">
        <v>20</v>
      </c>
      <c r="N29" s="48">
        <v>0</v>
      </c>
      <c r="O29" s="52">
        <v>20</v>
      </c>
      <c r="P29" s="48">
        <v>6</v>
      </c>
      <c r="Q29" s="48">
        <v>3</v>
      </c>
      <c r="R29" s="66">
        <v>11</v>
      </c>
      <c r="S29" s="66">
        <v>0</v>
      </c>
    </row>
    <row r="30" spans="1:20" ht="16" thickBot="1">
      <c r="A30" s="48" t="s">
        <v>52</v>
      </c>
      <c r="B30" s="48">
        <v>48</v>
      </c>
      <c r="C30" s="48">
        <v>4</v>
      </c>
      <c r="D30" s="52">
        <v>52</v>
      </c>
      <c r="E30" s="48">
        <v>16</v>
      </c>
      <c r="F30" s="48">
        <v>20</v>
      </c>
      <c r="G30" s="66">
        <v>16</v>
      </c>
      <c r="H30" s="66">
        <v>0</v>
      </c>
      <c r="I30" s="48">
        <v>52</v>
      </c>
      <c r="R30">
        <f>SUM(R25:R29)</f>
        <v>60</v>
      </c>
      <c r="S30">
        <f>SUM(S25:S29)</f>
        <v>-2</v>
      </c>
    </row>
    <row r="31" spans="1:20" ht="16" thickBot="1">
      <c r="A31" s="48" t="s">
        <v>53</v>
      </c>
      <c r="B31" s="48">
        <v>50</v>
      </c>
      <c r="C31" s="48">
        <v>3</v>
      </c>
      <c r="D31" s="52">
        <v>53</v>
      </c>
      <c r="E31" s="48">
        <v>7</v>
      </c>
      <c r="F31" s="48">
        <v>15</v>
      </c>
      <c r="G31" s="66">
        <v>36</v>
      </c>
      <c r="H31" s="66">
        <v>-5</v>
      </c>
      <c r="I31" s="48">
        <v>53</v>
      </c>
      <c r="L31" s="71" t="s">
        <v>80</v>
      </c>
    </row>
    <row r="32" spans="1:20">
      <c r="A32" s="48" t="s">
        <v>54</v>
      </c>
      <c r="B32" s="48">
        <v>55</v>
      </c>
      <c r="C32" s="48">
        <v>7</v>
      </c>
      <c r="D32" s="52">
        <v>62</v>
      </c>
      <c r="E32" s="48">
        <v>10</v>
      </c>
      <c r="F32" s="48">
        <v>31</v>
      </c>
      <c r="G32" s="66">
        <v>21</v>
      </c>
      <c r="H32" s="66">
        <v>0</v>
      </c>
      <c r="I32" s="48">
        <v>62</v>
      </c>
      <c r="L32" s="48" t="s">
        <v>49</v>
      </c>
      <c r="M32" s="48">
        <v>168</v>
      </c>
      <c r="N32" s="48">
        <v>3</v>
      </c>
      <c r="O32" s="52">
        <v>171</v>
      </c>
      <c r="P32" s="48">
        <v>19</v>
      </c>
      <c r="Q32" s="48">
        <v>107</v>
      </c>
      <c r="R32" s="66">
        <v>46</v>
      </c>
      <c r="S32" s="66">
        <v>-1</v>
      </c>
      <c r="T32" s="48">
        <v>171</v>
      </c>
    </row>
    <row r="33" spans="1:19">
      <c r="A33" s="48" t="s">
        <v>55</v>
      </c>
      <c r="B33" s="48">
        <v>29</v>
      </c>
      <c r="C33" s="48">
        <v>1</v>
      </c>
      <c r="D33" s="52">
        <v>30</v>
      </c>
      <c r="E33" s="48">
        <v>9</v>
      </c>
      <c r="F33" s="48">
        <v>10</v>
      </c>
      <c r="G33" s="66">
        <v>11</v>
      </c>
      <c r="H33" s="66">
        <v>0</v>
      </c>
      <c r="I33" s="48">
        <v>30</v>
      </c>
      <c r="L33" s="48" t="s">
        <v>52</v>
      </c>
      <c r="M33" s="48">
        <v>48</v>
      </c>
      <c r="N33" s="48">
        <v>4</v>
      </c>
      <c r="O33" s="52">
        <v>52</v>
      </c>
      <c r="P33" s="48">
        <v>16</v>
      </c>
      <c r="Q33" s="48">
        <v>20</v>
      </c>
      <c r="R33" s="66">
        <v>16</v>
      </c>
      <c r="S33" s="66">
        <v>0</v>
      </c>
    </row>
    <row r="34" spans="1:19">
      <c r="A34" s="48" t="s">
        <v>56</v>
      </c>
      <c r="B34" s="48">
        <v>22</v>
      </c>
      <c r="C34" s="48">
        <v>1</v>
      </c>
      <c r="D34" s="52">
        <v>23</v>
      </c>
      <c r="E34" s="48">
        <v>9</v>
      </c>
      <c r="F34" s="48">
        <v>9</v>
      </c>
      <c r="G34" s="66">
        <v>5</v>
      </c>
      <c r="H34" s="66">
        <v>0</v>
      </c>
      <c r="I34" s="48">
        <v>23</v>
      </c>
      <c r="L34" s="48" t="s">
        <v>53</v>
      </c>
      <c r="M34" s="48">
        <v>50</v>
      </c>
      <c r="N34" s="48">
        <v>3</v>
      </c>
      <c r="O34" s="52">
        <v>53</v>
      </c>
      <c r="P34" s="48">
        <v>7</v>
      </c>
      <c r="Q34" s="48">
        <v>15</v>
      </c>
      <c r="R34" s="66">
        <v>36</v>
      </c>
      <c r="S34" s="66">
        <v>-5</v>
      </c>
    </row>
    <row r="35" spans="1:19">
      <c r="A35" s="48" t="s">
        <v>57</v>
      </c>
      <c r="B35" s="48">
        <v>20</v>
      </c>
      <c r="C35" s="48">
        <v>0</v>
      </c>
      <c r="D35" s="52">
        <v>20</v>
      </c>
      <c r="E35" s="48">
        <v>6</v>
      </c>
      <c r="F35" s="48">
        <v>3</v>
      </c>
      <c r="G35" s="66">
        <v>11</v>
      </c>
      <c r="H35" s="66">
        <v>0</v>
      </c>
      <c r="I35" s="48">
        <v>20</v>
      </c>
      <c r="L35" s="48" t="s">
        <v>54</v>
      </c>
      <c r="M35" s="48">
        <v>55</v>
      </c>
      <c r="N35" s="48">
        <v>7</v>
      </c>
      <c r="O35" s="52">
        <v>62</v>
      </c>
      <c r="P35" s="48">
        <v>10</v>
      </c>
      <c r="Q35" s="48">
        <v>31</v>
      </c>
      <c r="R35" s="66">
        <v>21</v>
      </c>
      <c r="S35" s="66">
        <v>0</v>
      </c>
    </row>
    <row r="36" spans="1:19">
      <c r="A36" s="51" t="s">
        <v>58</v>
      </c>
      <c r="B36" s="51">
        <v>573</v>
      </c>
      <c r="C36" s="51">
        <v>29</v>
      </c>
      <c r="D36" s="53">
        <v>602</v>
      </c>
      <c r="E36" s="51">
        <v>140</v>
      </c>
      <c r="F36" s="51">
        <v>280</v>
      </c>
      <c r="G36" s="68">
        <v>190</v>
      </c>
      <c r="H36" s="68">
        <v>-8</v>
      </c>
      <c r="I36" s="51">
        <v>602</v>
      </c>
      <c r="L36" s="48" t="s">
        <v>55</v>
      </c>
      <c r="M36" s="48">
        <v>29</v>
      </c>
      <c r="N36" s="48">
        <v>1</v>
      </c>
      <c r="O36" s="52">
        <v>30</v>
      </c>
      <c r="P36" s="48">
        <v>9</v>
      </c>
      <c r="Q36" s="48">
        <v>10</v>
      </c>
      <c r="R36" s="66">
        <v>11</v>
      </c>
      <c r="S36" s="66">
        <v>0</v>
      </c>
    </row>
    <row r="37" spans="1:19">
      <c r="A37" s="48" t="s">
        <v>59</v>
      </c>
      <c r="B37" s="48">
        <v>541</v>
      </c>
      <c r="C37" s="48">
        <v>23</v>
      </c>
      <c r="D37" s="52">
        <v>564</v>
      </c>
      <c r="E37" s="48">
        <v>87</v>
      </c>
      <c r="F37" s="48">
        <v>273</v>
      </c>
      <c r="G37" s="66">
        <v>205</v>
      </c>
      <c r="H37" s="66">
        <v>-1</v>
      </c>
      <c r="I37" s="48">
        <v>564</v>
      </c>
      <c r="R37">
        <f>SUM(R32:R36)</f>
        <v>130</v>
      </c>
      <c r="S37">
        <f>SUM(S32:S36)</f>
        <v>-6</v>
      </c>
    </row>
    <row r="38" spans="1:19">
      <c r="A38" s="48" t="s">
        <v>60</v>
      </c>
      <c r="B38" s="48">
        <v>309</v>
      </c>
      <c r="C38" s="48">
        <v>1</v>
      </c>
      <c r="D38" s="52">
        <v>310</v>
      </c>
      <c r="E38" s="48">
        <v>19</v>
      </c>
      <c r="F38" s="48">
        <v>77</v>
      </c>
      <c r="G38" s="66">
        <v>207</v>
      </c>
      <c r="H38" s="66">
        <v>7</v>
      </c>
      <c r="I38" s="48">
        <v>310</v>
      </c>
    </row>
    <row r="39" spans="1:19">
      <c r="A39" s="48" t="s">
        <v>61</v>
      </c>
      <c r="B39" s="48">
        <v>97</v>
      </c>
      <c r="C39" s="48">
        <v>6</v>
      </c>
      <c r="D39" s="52">
        <v>103</v>
      </c>
      <c r="E39" s="48">
        <v>22</v>
      </c>
      <c r="F39" s="48">
        <v>36</v>
      </c>
      <c r="G39" s="66">
        <v>45</v>
      </c>
      <c r="H39" s="66">
        <v>0</v>
      </c>
      <c r="I39" s="48">
        <v>103</v>
      </c>
    </row>
    <row r="40" spans="1:19" ht="16" thickBot="1">
      <c r="A40" s="50" t="s">
        <v>62</v>
      </c>
      <c r="B40" s="50">
        <v>1520</v>
      </c>
      <c r="C40" s="50">
        <v>59</v>
      </c>
      <c r="D40" s="54">
        <v>1579</v>
      </c>
      <c r="E40" s="50">
        <v>268</v>
      </c>
      <c r="F40" s="50">
        <v>666</v>
      </c>
      <c r="G40" s="67">
        <v>647</v>
      </c>
      <c r="H40" s="67">
        <v>-2</v>
      </c>
      <c r="I40" s="50">
        <v>1579</v>
      </c>
    </row>
    <row r="41" spans="1:19" ht="16" thickTop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FCCE-7BE1-B943-BB32-F499A976A377}">
  <dimension ref="A1:T41"/>
  <sheetViews>
    <sheetView workbookViewId="0"/>
  </sheetViews>
  <sheetFormatPr baseColWidth="10" defaultRowHeight="15"/>
  <cols>
    <col min="1" max="1" width="35.83203125" customWidth="1"/>
    <col min="12" max="12" width="29.83203125" customWidth="1"/>
  </cols>
  <sheetData>
    <row r="1" spans="1:20">
      <c r="A1" s="116" t="s">
        <v>186</v>
      </c>
    </row>
    <row r="2" spans="1:20" ht="16" thickBot="1">
      <c r="A2" s="49" t="s">
        <v>37</v>
      </c>
      <c r="B2" s="49" t="s">
        <v>38</v>
      </c>
      <c r="C2" s="49" t="s">
        <v>39</v>
      </c>
      <c r="D2" s="49" t="s">
        <v>40</v>
      </c>
      <c r="E2" s="49" t="s">
        <v>41</v>
      </c>
      <c r="F2" s="49" t="s">
        <v>42</v>
      </c>
      <c r="G2" s="49" t="s">
        <v>43</v>
      </c>
      <c r="H2" s="49" t="s">
        <v>44</v>
      </c>
      <c r="I2" s="49" t="s">
        <v>72</v>
      </c>
      <c r="J2" s="49" t="s">
        <v>46</v>
      </c>
      <c r="L2" s="70"/>
      <c r="M2" s="49" t="s">
        <v>38</v>
      </c>
      <c r="N2" s="49" t="s">
        <v>39</v>
      </c>
      <c r="O2" s="49" t="s">
        <v>40</v>
      </c>
      <c r="P2" s="49" t="s">
        <v>41</v>
      </c>
      <c r="Q2" s="49" t="s">
        <v>42</v>
      </c>
      <c r="R2" s="62" t="s">
        <v>43</v>
      </c>
      <c r="S2" s="62" t="s">
        <v>44</v>
      </c>
    </row>
    <row r="3" spans="1:20" ht="16" thickBot="1">
      <c r="A3" s="48" t="s">
        <v>36</v>
      </c>
      <c r="B3" s="48"/>
      <c r="C3" s="48"/>
      <c r="D3" s="48"/>
      <c r="E3" s="48"/>
      <c r="F3" s="48"/>
      <c r="G3" s="48"/>
      <c r="H3" s="48"/>
      <c r="I3" s="48"/>
      <c r="J3" s="48"/>
      <c r="L3" s="71" t="s">
        <v>81</v>
      </c>
    </row>
    <row r="4" spans="1:20">
      <c r="A4" s="48" t="s">
        <v>47</v>
      </c>
      <c r="B4" s="48">
        <v>2961</v>
      </c>
      <c r="C4" s="48">
        <v>1706</v>
      </c>
      <c r="D4" s="66">
        <v>4667</v>
      </c>
      <c r="E4" s="48">
        <v>4408</v>
      </c>
      <c r="F4" s="48">
        <v>225</v>
      </c>
      <c r="G4" s="66">
        <v>34</v>
      </c>
      <c r="H4" s="66">
        <v>0</v>
      </c>
      <c r="I4" s="48">
        <v>4667</v>
      </c>
      <c r="J4" s="48">
        <v>9</v>
      </c>
      <c r="L4" s="48" t="s">
        <v>47</v>
      </c>
      <c r="M4" s="48">
        <v>2961</v>
      </c>
      <c r="N4" s="48">
        <v>1706</v>
      </c>
      <c r="O4" s="66">
        <v>4667</v>
      </c>
      <c r="P4" s="48">
        <v>4408</v>
      </c>
      <c r="Q4" s="48">
        <v>225</v>
      </c>
      <c r="R4" s="66">
        <v>34</v>
      </c>
      <c r="S4" s="66">
        <v>0</v>
      </c>
    </row>
    <row r="5" spans="1:20">
      <c r="A5" s="48" t="s">
        <v>48</v>
      </c>
      <c r="B5" s="48">
        <v>2190</v>
      </c>
      <c r="C5" s="48">
        <v>802</v>
      </c>
      <c r="D5" s="66">
        <v>2992</v>
      </c>
      <c r="E5" s="48">
        <v>2786</v>
      </c>
      <c r="F5" s="48">
        <v>179</v>
      </c>
      <c r="G5" s="66">
        <v>27</v>
      </c>
      <c r="H5" s="66">
        <v>0</v>
      </c>
      <c r="I5" s="48">
        <v>2992</v>
      </c>
      <c r="J5" s="48">
        <v>0</v>
      </c>
      <c r="L5" s="48" t="s">
        <v>50</v>
      </c>
      <c r="M5" s="48">
        <v>2849</v>
      </c>
      <c r="N5" s="48">
        <v>1929</v>
      </c>
      <c r="O5" s="66">
        <v>4778</v>
      </c>
      <c r="P5" s="48">
        <v>4297</v>
      </c>
      <c r="Q5" s="48">
        <v>396</v>
      </c>
      <c r="R5" s="66">
        <v>85</v>
      </c>
      <c r="S5" s="66">
        <v>0</v>
      </c>
    </row>
    <row r="6" spans="1:20">
      <c r="A6" s="48" t="s">
        <v>49</v>
      </c>
      <c r="B6" s="48">
        <v>2910</v>
      </c>
      <c r="C6" s="48">
        <v>604</v>
      </c>
      <c r="D6" s="66">
        <v>3514</v>
      </c>
      <c r="E6" s="48">
        <v>1422</v>
      </c>
      <c r="F6" s="48">
        <v>1713</v>
      </c>
      <c r="G6" s="66">
        <v>379</v>
      </c>
      <c r="H6" s="66">
        <v>0</v>
      </c>
      <c r="I6" s="48">
        <v>3514</v>
      </c>
      <c r="J6" s="48">
        <v>0</v>
      </c>
      <c r="L6" s="48" t="s">
        <v>51</v>
      </c>
      <c r="M6" s="48">
        <v>2012</v>
      </c>
      <c r="N6" s="48">
        <v>452</v>
      </c>
      <c r="O6" s="66">
        <v>2464</v>
      </c>
      <c r="P6" s="48">
        <v>2173</v>
      </c>
      <c r="Q6" s="48">
        <v>231</v>
      </c>
      <c r="R6" s="66">
        <v>60</v>
      </c>
      <c r="S6" s="66">
        <v>0</v>
      </c>
    </row>
    <row r="7" spans="1:20">
      <c r="A7" s="48" t="s">
        <v>50</v>
      </c>
      <c r="B7" s="48">
        <v>2849</v>
      </c>
      <c r="C7" s="48">
        <v>1929</v>
      </c>
      <c r="D7" s="66">
        <v>4778</v>
      </c>
      <c r="E7" s="48">
        <v>4297</v>
      </c>
      <c r="F7" s="48">
        <v>396</v>
      </c>
      <c r="G7" s="66">
        <v>85</v>
      </c>
      <c r="H7" s="66">
        <v>0</v>
      </c>
      <c r="I7" s="48">
        <v>4778</v>
      </c>
      <c r="J7" s="48">
        <v>0</v>
      </c>
      <c r="L7" s="48" t="s">
        <v>56</v>
      </c>
      <c r="M7" s="48">
        <v>1230</v>
      </c>
      <c r="N7" s="48">
        <v>369</v>
      </c>
      <c r="O7" s="66">
        <v>1599</v>
      </c>
      <c r="P7" s="48">
        <v>1503</v>
      </c>
      <c r="Q7" s="48">
        <v>71</v>
      </c>
      <c r="R7" s="66">
        <v>25</v>
      </c>
      <c r="S7" s="66">
        <v>0</v>
      </c>
      <c r="T7" s="48">
        <v>1599</v>
      </c>
    </row>
    <row r="8" spans="1:20">
      <c r="A8" s="48" t="s">
        <v>51</v>
      </c>
      <c r="B8" s="48">
        <v>2012</v>
      </c>
      <c r="C8" s="48">
        <v>452</v>
      </c>
      <c r="D8" s="66">
        <v>2464</v>
      </c>
      <c r="E8" s="48">
        <v>2173</v>
      </c>
      <c r="F8" s="48">
        <v>231</v>
      </c>
      <c r="G8" s="66">
        <v>60</v>
      </c>
      <c r="H8" s="66">
        <v>0</v>
      </c>
      <c r="I8" s="48">
        <v>2464</v>
      </c>
      <c r="J8" s="48">
        <v>0</v>
      </c>
      <c r="L8" s="48" t="s">
        <v>57</v>
      </c>
      <c r="M8" s="48">
        <v>502</v>
      </c>
      <c r="N8" s="48">
        <v>858</v>
      </c>
      <c r="O8" s="66">
        <v>1360</v>
      </c>
      <c r="P8" s="48">
        <v>1283</v>
      </c>
      <c r="Q8" s="48">
        <v>76</v>
      </c>
      <c r="R8" s="66">
        <v>1</v>
      </c>
      <c r="S8" s="66">
        <v>0</v>
      </c>
      <c r="T8" s="48">
        <v>1360</v>
      </c>
    </row>
    <row r="9" spans="1:20" ht="16" thickBot="1">
      <c r="A9" s="48" t="s">
        <v>52</v>
      </c>
      <c r="B9" s="48">
        <v>1832</v>
      </c>
      <c r="C9" s="48">
        <v>1045</v>
      </c>
      <c r="D9" s="66">
        <v>2877</v>
      </c>
      <c r="E9" s="48">
        <v>2544</v>
      </c>
      <c r="F9" s="48">
        <v>282</v>
      </c>
      <c r="G9" s="66">
        <v>51</v>
      </c>
      <c r="H9" s="66">
        <v>0</v>
      </c>
      <c r="I9" s="48">
        <v>2877</v>
      </c>
      <c r="J9" s="48">
        <v>0</v>
      </c>
      <c r="O9">
        <f>SUM(O4:O8)</f>
        <v>14868</v>
      </c>
      <c r="R9">
        <f>SUM(R4:R8)</f>
        <v>205</v>
      </c>
      <c r="S9">
        <f>SUM(S4:S8)</f>
        <v>0</v>
      </c>
    </row>
    <row r="10" spans="1:20" ht="16" thickBot="1">
      <c r="A10" s="48" t="s">
        <v>53</v>
      </c>
      <c r="B10" s="48">
        <v>1655</v>
      </c>
      <c r="C10" s="48">
        <v>669</v>
      </c>
      <c r="D10" s="66">
        <v>2324</v>
      </c>
      <c r="E10" s="48">
        <v>1975</v>
      </c>
      <c r="F10" s="48">
        <v>270</v>
      </c>
      <c r="G10" s="66">
        <v>79</v>
      </c>
      <c r="H10" s="66">
        <v>0</v>
      </c>
      <c r="I10" s="48">
        <v>2324</v>
      </c>
      <c r="J10" s="48">
        <v>0</v>
      </c>
      <c r="L10" s="71" t="s">
        <v>80</v>
      </c>
    </row>
    <row r="11" spans="1:20">
      <c r="A11" s="48" t="s">
        <v>54</v>
      </c>
      <c r="B11" s="48">
        <v>1751</v>
      </c>
      <c r="C11" s="48">
        <v>1201</v>
      </c>
      <c r="D11" s="66">
        <v>2952</v>
      </c>
      <c r="E11" s="48">
        <v>2540</v>
      </c>
      <c r="F11" s="48">
        <v>318</v>
      </c>
      <c r="G11" s="66">
        <v>94</v>
      </c>
      <c r="H11" s="66">
        <v>0</v>
      </c>
      <c r="I11" s="48">
        <v>2952</v>
      </c>
      <c r="J11" s="48">
        <v>14</v>
      </c>
      <c r="L11" s="48" t="s">
        <v>49</v>
      </c>
      <c r="M11" s="48">
        <v>2910</v>
      </c>
      <c r="N11" s="48">
        <v>604</v>
      </c>
      <c r="O11" s="66">
        <v>3514</v>
      </c>
      <c r="P11" s="48">
        <v>1422</v>
      </c>
      <c r="Q11" s="48">
        <v>1713</v>
      </c>
      <c r="R11" s="66">
        <v>379</v>
      </c>
      <c r="S11" s="66">
        <v>0</v>
      </c>
    </row>
    <row r="12" spans="1:20">
      <c r="A12" s="48" t="s">
        <v>55</v>
      </c>
      <c r="B12" s="48">
        <v>1661</v>
      </c>
      <c r="C12" s="48">
        <v>611</v>
      </c>
      <c r="D12" s="66">
        <v>2272</v>
      </c>
      <c r="E12" s="48">
        <v>1983</v>
      </c>
      <c r="F12" s="48">
        <v>271</v>
      </c>
      <c r="G12" s="66">
        <v>18</v>
      </c>
      <c r="H12" s="66">
        <v>0</v>
      </c>
      <c r="I12" s="48">
        <v>2272</v>
      </c>
      <c r="J12" s="48">
        <v>0</v>
      </c>
      <c r="L12" s="48" t="s">
        <v>52</v>
      </c>
      <c r="M12" s="48">
        <v>1832</v>
      </c>
      <c r="N12" s="48">
        <v>1045</v>
      </c>
      <c r="O12" s="66">
        <v>2877</v>
      </c>
      <c r="P12" s="48">
        <v>2544</v>
      </c>
      <c r="Q12" s="48">
        <v>282</v>
      </c>
      <c r="R12" s="66">
        <v>51</v>
      </c>
      <c r="S12" s="66">
        <v>0</v>
      </c>
    </row>
    <row r="13" spans="1:20">
      <c r="A13" s="48" t="s">
        <v>56</v>
      </c>
      <c r="B13" s="48">
        <v>1230</v>
      </c>
      <c r="C13" s="48">
        <v>369</v>
      </c>
      <c r="D13" s="66">
        <v>1599</v>
      </c>
      <c r="E13" s="48">
        <v>1503</v>
      </c>
      <c r="F13" s="48">
        <v>71</v>
      </c>
      <c r="G13" s="66">
        <v>25</v>
      </c>
      <c r="H13" s="66">
        <v>0</v>
      </c>
      <c r="I13" s="48">
        <v>1599</v>
      </c>
      <c r="J13" s="48">
        <v>0</v>
      </c>
      <c r="L13" s="48" t="s">
        <v>53</v>
      </c>
      <c r="M13" s="48">
        <v>1655</v>
      </c>
      <c r="N13" s="48">
        <v>669</v>
      </c>
      <c r="O13" s="66">
        <v>2324</v>
      </c>
      <c r="P13" s="48">
        <v>1975</v>
      </c>
      <c r="Q13" s="48">
        <v>270</v>
      </c>
      <c r="R13" s="66">
        <v>79</v>
      </c>
      <c r="S13" s="66">
        <v>0</v>
      </c>
    </row>
    <row r="14" spans="1:20">
      <c r="A14" s="48" t="s">
        <v>57</v>
      </c>
      <c r="B14" s="48">
        <v>502</v>
      </c>
      <c r="C14" s="48">
        <v>858</v>
      </c>
      <c r="D14" s="66">
        <v>1360</v>
      </c>
      <c r="E14" s="48">
        <v>1283</v>
      </c>
      <c r="F14" s="48">
        <v>76</v>
      </c>
      <c r="G14" s="66">
        <v>1</v>
      </c>
      <c r="H14" s="66">
        <v>0</v>
      </c>
      <c r="I14" s="48">
        <v>1360</v>
      </c>
      <c r="J14" s="48">
        <v>0</v>
      </c>
      <c r="L14" s="48" t="s">
        <v>54</v>
      </c>
      <c r="M14" s="48">
        <v>1751</v>
      </c>
      <c r="N14" s="48">
        <v>1201</v>
      </c>
      <c r="O14" s="66">
        <v>2952</v>
      </c>
      <c r="P14" s="48">
        <v>2540</v>
      </c>
      <c r="Q14" s="48">
        <v>318</v>
      </c>
      <c r="R14" s="66">
        <v>94</v>
      </c>
      <c r="S14" s="66">
        <v>0</v>
      </c>
    </row>
    <row r="15" spans="1:20">
      <c r="A15" s="51" t="s">
        <v>58</v>
      </c>
      <c r="B15" s="51">
        <v>19363</v>
      </c>
      <c r="C15" s="51">
        <v>9444</v>
      </c>
      <c r="D15" s="68">
        <v>28807</v>
      </c>
      <c r="E15" s="51">
        <v>24128</v>
      </c>
      <c r="F15" s="51">
        <v>3853</v>
      </c>
      <c r="G15" s="68">
        <v>826</v>
      </c>
      <c r="H15" s="68">
        <v>0</v>
      </c>
      <c r="I15" s="51">
        <v>28807</v>
      </c>
      <c r="J15" s="51">
        <v>23</v>
      </c>
      <c r="L15" s="48" t="s">
        <v>55</v>
      </c>
      <c r="M15" s="48">
        <v>1661</v>
      </c>
      <c r="N15" s="48">
        <v>611</v>
      </c>
      <c r="O15" s="66">
        <v>2272</v>
      </c>
      <c r="P15" s="48">
        <v>1983</v>
      </c>
      <c r="Q15" s="48">
        <v>271</v>
      </c>
      <c r="R15" s="66">
        <v>18</v>
      </c>
      <c r="S15" s="66">
        <v>0</v>
      </c>
    </row>
    <row r="16" spans="1:20">
      <c r="A16" s="48" t="s">
        <v>59</v>
      </c>
      <c r="B16" s="48">
        <v>8617</v>
      </c>
      <c r="C16" s="48">
        <v>2384</v>
      </c>
      <c r="D16" s="66">
        <v>11001</v>
      </c>
      <c r="E16" s="48">
        <v>9056</v>
      </c>
      <c r="F16" s="48">
        <v>1509</v>
      </c>
      <c r="G16" s="66">
        <v>436</v>
      </c>
      <c r="H16" s="66">
        <v>0</v>
      </c>
      <c r="I16" s="48">
        <v>11001</v>
      </c>
      <c r="J16" s="48">
        <v>226</v>
      </c>
      <c r="O16">
        <f>SUM(O11:O15)</f>
        <v>13939</v>
      </c>
      <c r="R16">
        <f>SUM(R11:R15)</f>
        <v>621</v>
      </c>
      <c r="S16">
        <f>SUM(S11:S15)</f>
        <v>0</v>
      </c>
    </row>
    <row r="17" spans="1:19">
      <c r="A17" s="48" t="s">
        <v>60</v>
      </c>
      <c r="B17" s="48">
        <v>30279</v>
      </c>
      <c r="C17" s="48">
        <v>1168</v>
      </c>
      <c r="D17" s="66">
        <v>31447</v>
      </c>
      <c r="E17" s="48">
        <v>29553</v>
      </c>
      <c r="F17" s="48">
        <v>1161</v>
      </c>
      <c r="G17" s="66">
        <v>646</v>
      </c>
      <c r="H17" s="66">
        <v>87</v>
      </c>
      <c r="I17" s="48">
        <v>31447</v>
      </c>
      <c r="J17" s="48">
        <v>0</v>
      </c>
    </row>
    <row r="18" spans="1:19">
      <c r="A18" s="48" t="s">
        <v>61</v>
      </c>
      <c r="B18" s="48">
        <v>2723</v>
      </c>
      <c r="C18" s="48">
        <v>2866</v>
      </c>
      <c r="D18" s="66">
        <v>5589</v>
      </c>
      <c r="E18" s="48">
        <v>4810</v>
      </c>
      <c r="F18" s="48">
        <v>591</v>
      </c>
      <c r="G18" s="66">
        <v>188</v>
      </c>
      <c r="H18" s="66">
        <v>0</v>
      </c>
      <c r="I18" s="48">
        <v>5589</v>
      </c>
      <c r="J18" s="48">
        <v>0</v>
      </c>
      <c r="O18">
        <f>O9+O16</f>
        <v>28807</v>
      </c>
    </row>
    <row r="19" spans="1:19" ht="16" thickBot="1">
      <c r="A19" s="50" t="s">
        <v>62</v>
      </c>
      <c r="B19" s="50">
        <v>60982</v>
      </c>
      <c r="C19" s="50">
        <v>15862</v>
      </c>
      <c r="D19" s="67">
        <v>76844</v>
      </c>
      <c r="E19" s="50">
        <v>67547</v>
      </c>
      <c r="F19" s="50">
        <v>7114</v>
      </c>
      <c r="G19" s="67">
        <v>2096</v>
      </c>
      <c r="H19" s="67">
        <v>87</v>
      </c>
      <c r="I19" s="50">
        <v>76844</v>
      </c>
      <c r="J19" s="50">
        <v>249</v>
      </c>
    </row>
    <row r="20" spans="1:19" ht="16" thickTop="1"/>
    <row r="23" spans="1:19" ht="16" thickBot="1">
      <c r="A23" s="49" t="s">
        <v>71</v>
      </c>
      <c r="B23" s="49" t="s">
        <v>63</v>
      </c>
      <c r="C23" s="49" t="s">
        <v>64</v>
      </c>
      <c r="D23" s="49" t="s">
        <v>65</v>
      </c>
      <c r="E23" s="49" t="s">
        <v>66</v>
      </c>
      <c r="F23" s="49" t="s">
        <v>67</v>
      </c>
      <c r="G23" s="49" t="s">
        <v>68</v>
      </c>
      <c r="H23" s="49" t="s">
        <v>69</v>
      </c>
      <c r="I23" s="49" t="s">
        <v>73</v>
      </c>
      <c r="L23" s="49" t="s">
        <v>71</v>
      </c>
      <c r="M23" s="49" t="s">
        <v>63</v>
      </c>
      <c r="N23" s="49" t="s">
        <v>64</v>
      </c>
      <c r="O23" s="49" t="s">
        <v>65</v>
      </c>
      <c r="P23" s="49" t="s">
        <v>66</v>
      </c>
      <c r="Q23" s="49" t="s">
        <v>67</v>
      </c>
      <c r="R23" s="49" t="s">
        <v>68</v>
      </c>
      <c r="S23" s="49" t="s">
        <v>69</v>
      </c>
    </row>
    <row r="24" spans="1:19" ht="16" thickBot="1">
      <c r="A24" s="48" t="s">
        <v>36</v>
      </c>
      <c r="B24" s="48"/>
      <c r="C24" s="48"/>
      <c r="D24" s="48"/>
      <c r="E24" s="48"/>
      <c r="F24" s="48"/>
      <c r="G24" s="48"/>
      <c r="H24" s="48"/>
      <c r="I24" s="48"/>
      <c r="L24" s="71" t="s">
        <v>81</v>
      </c>
    </row>
    <row r="25" spans="1:19">
      <c r="A25" s="48" t="s">
        <v>47</v>
      </c>
      <c r="B25" s="48">
        <v>59</v>
      </c>
      <c r="C25" s="48">
        <v>8</v>
      </c>
      <c r="D25" s="48">
        <v>67</v>
      </c>
      <c r="E25" s="48">
        <v>16</v>
      </c>
      <c r="F25" s="48">
        <v>26</v>
      </c>
      <c r="G25" s="66">
        <v>25</v>
      </c>
      <c r="H25" s="66">
        <v>0</v>
      </c>
      <c r="I25" s="48">
        <v>67</v>
      </c>
      <c r="L25" s="48" t="s">
        <v>47</v>
      </c>
      <c r="M25" s="48">
        <v>59</v>
      </c>
      <c r="N25" s="48">
        <v>8</v>
      </c>
      <c r="O25" s="48">
        <v>67</v>
      </c>
      <c r="P25" s="48">
        <v>16</v>
      </c>
      <c r="Q25" s="48">
        <v>26</v>
      </c>
      <c r="R25" s="66">
        <v>25</v>
      </c>
      <c r="S25" s="66">
        <v>0</v>
      </c>
    </row>
    <row r="26" spans="1:19">
      <c r="A26" s="48" t="s">
        <v>48</v>
      </c>
      <c r="B26" s="48">
        <v>49</v>
      </c>
      <c r="C26" s="48">
        <v>7</v>
      </c>
      <c r="D26" s="48">
        <v>56</v>
      </c>
      <c r="E26" s="48">
        <v>10</v>
      </c>
      <c r="F26" s="48">
        <v>24</v>
      </c>
      <c r="G26" s="66">
        <v>22</v>
      </c>
      <c r="H26" s="66">
        <v>0</v>
      </c>
      <c r="I26" s="48">
        <v>56</v>
      </c>
      <c r="L26" s="48" t="s">
        <v>50</v>
      </c>
      <c r="M26" s="48">
        <v>88</v>
      </c>
      <c r="N26" s="48">
        <v>11</v>
      </c>
      <c r="O26" s="48">
        <v>99</v>
      </c>
      <c r="P26" s="48">
        <v>23</v>
      </c>
      <c r="Q26" s="48">
        <v>49</v>
      </c>
      <c r="R26" s="66">
        <v>27</v>
      </c>
      <c r="S26" s="66">
        <v>0</v>
      </c>
    </row>
    <row r="27" spans="1:19">
      <c r="A27" s="48" t="s">
        <v>49</v>
      </c>
      <c r="B27" s="48">
        <v>353</v>
      </c>
      <c r="C27" s="48">
        <v>12</v>
      </c>
      <c r="D27" s="48">
        <v>365</v>
      </c>
      <c r="E27" s="48">
        <v>21</v>
      </c>
      <c r="F27" s="48">
        <v>249</v>
      </c>
      <c r="G27" s="66">
        <v>95</v>
      </c>
      <c r="H27" s="66">
        <v>0</v>
      </c>
      <c r="I27" s="48">
        <v>365</v>
      </c>
      <c r="L27" s="48" t="s">
        <v>51</v>
      </c>
      <c r="M27" s="48">
        <v>51</v>
      </c>
      <c r="N27" s="48">
        <v>4</v>
      </c>
      <c r="O27" s="48">
        <v>55</v>
      </c>
      <c r="P27" s="48">
        <v>15</v>
      </c>
      <c r="Q27" s="48">
        <v>19</v>
      </c>
      <c r="R27" s="66">
        <v>21</v>
      </c>
      <c r="S27" s="66">
        <v>0</v>
      </c>
    </row>
    <row r="28" spans="1:19">
      <c r="A28" s="48" t="s">
        <v>50</v>
      </c>
      <c r="B28" s="48">
        <v>88</v>
      </c>
      <c r="C28" s="48">
        <v>11</v>
      </c>
      <c r="D28" s="48">
        <v>99</v>
      </c>
      <c r="E28" s="48">
        <v>23</v>
      </c>
      <c r="F28" s="48">
        <v>49</v>
      </c>
      <c r="G28" s="66">
        <v>27</v>
      </c>
      <c r="H28" s="66">
        <v>0</v>
      </c>
      <c r="I28" s="48">
        <v>99</v>
      </c>
      <c r="L28" s="48" t="s">
        <v>56</v>
      </c>
      <c r="M28" s="48">
        <v>24</v>
      </c>
      <c r="N28" s="48">
        <v>0</v>
      </c>
      <c r="O28" s="48">
        <v>24</v>
      </c>
      <c r="P28" s="48">
        <v>8</v>
      </c>
      <c r="Q28" s="48">
        <v>7</v>
      </c>
      <c r="R28" s="66">
        <v>9</v>
      </c>
      <c r="S28" s="66">
        <v>0</v>
      </c>
    </row>
    <row r="29" spans="1:19">
      <c r="A29" s="48" t="s">
        <v>51</v>
      </c>
      <c r="B29" s="48">
        <v>51</v>
      </c>
      <c r="C29" s="48">
        <v>4</v>
      </c>
      <c r="D29" s="48">
        <v>55</v>
      </c>
      <c r="E29" s="48">
        <v>15</v>
      </c>
      <c r="F29" s="48">
        <v>19</v>
      </c>
      <c r="G29" s="66">
        <v>21</v>
      </c>
      <c r="H29" s="66">
        <v>0</v>
      </c>
      <c r="I29" s="48">
        <v>55</v>
      </c>
      <c r="L29" s="48" t="s">
        <v>57</v>
      </c>
      <c r="M29" s="48">
        <v>31</v>
      </c>
      <c r="N29" s="48">
        <v>0</v>
      </c>
      <c r="O29" s="48">
        <v>31</v>
      </c>
      <c r="P29" s="48">
        <v>3</v>
      </c>
      <c r="Q29" s="48">
        <v>28</v>
      </c>
      <c r="R29" s="66">
        <v>0</v>
      </c>
      <c r="S29" s="66">
        <v>0</v>
      </c>
    </row>
    <row r="30" spans="1:19" ht="16" thickBot="1">
      <c r="A30" s="48" t="s">
        <v>52</v>
      </c>
      <c r="B30" s="48">
        <v>62</v>
      </c>
      <c r="C30" s="48">
        <v>4</v>
      </c>
      <c r="D30" s="48">
        <v>66</v>
      </c>
      <c r="E30" s="48">
        <v>12</v>
      </c>
      <c r="F30" s="48">
        <v>29</v>
      </c>
      <c r="G30" s="66">
        <v>25</v>
      </c>
      <c r="H30" s="66">
        <v>0</v>
      </c>
      <c r="I30" s="48">
        <v>66</v>
      </c>
      <c r="R30">
        <f>SUM(R25:R29)</f>
        <v>82</v>
      </c>
      <c r="S30">
        <f>SUM(S25:S29)</f>
        <v>0</v>
      </c>
    </row>
    <row r="31" spans="1:19" ht="16" thickBot="1">
      <c r="A31" s="48" t="s">
        <v>53</v>
      </c>
      <c r="B31" s="48">
        <v>54</v>
      </c>
      <c r="C31" s="48">
        <v>3</v>
      </c>
      <c r="D31" s="48">
        <v>57</v>
      </c>
      <c r="E31" s="48">
        <v>11</v>
      </c>
      <c r="F31" s="48">
        <v>20</v>
      </c>
      <c r="G31" s="66">
        <v>26</v>
      </c>
      <c r="H31" s="66">
        <v>0</v>
      </c>
      <c r="I31" s="48">
        <v>57</v>
      </c>
      <c r="L31" s="71" t="s">
        <v>80</v>
      </c>
    </row>
    <row r="32" spans="1:19">
      <c r="A32" s="48" t="s">
        <v>54</v>
      </c>
      <c r="B32" s="48">
        <v>76</v>
      </c>
      <c r="C32" s="48">
        <v>4</v>
      </c>
      <c r="D32" s="48">
        <v>80</v>
      </c>
      <c r="E32" s="48">
        <v>12</v>
      </c>
      <c r="F32" s="48">
        <v>33</v>
      </c>
      <c r="G32" s="66">
        <v>35</v>
      </c>
      <c r="H32" s="66">
        <v>0</v>
      </c>
      <c r="I32" s="48">
        <v>80</v>
      </c>
      <c r="L32" s="48" t="s">
        <v>49</v>
      </c>
      <c r="M32" s="48">
        <v>353</v>
      </c>
      <c r="N32" s="48">
        <v>12</v>
      </c>
      <c r="O32" s="48">
        <v>365</v>
      </c>
      <c r="P32" s="48">
        <v>21</v>
      </c>
      <c r="Q32" s="48">
        <v>249</v>
      </c>
      <c r="R32" s="66">
        <v>95</v>
      </c>
      <c r="S32" s="66">
        <v>0</v>
      </c>
    </row>
    <row r="33" spans="1:19">
      <c r="A33" s="48" t="s">
        <v>55</v>
      </c>
      <c r="B33" s="48">
        <v>40</v>
      </c>
      <c r="C33" s="48">
        <v>1</v>
      </c>
      <c r="D33" s="48">
        <v>41</v>
      </c>
      <c r="E33" s="48">
        <v>7</v>
      </c>
      <c r="F33" s="48">
        <v>24</v>
      </c>
      <c r="G33" s="66">
        <v>10</v>
      </c>
      <c r="H33" s="66">
        <v>0</v>
      </c>
      <c r="I33" s="48">
        <v>41</v>
      </c>
      <c r="L33" s="48" t="s">
        <v>52</v>
      </c>
      <c r="M33" s="48">
        <v>62</v>
      </c>
      <c r="N33" s="48">
        <v>4</v>
      </c>
      <c r="O33" s="48">
        <v>66</v>
      </c>
      <c r="P33" s="48">
        <v>12</v>
      </c>
      <c r="Q33" s="48">
        <v>29</v>
      </c>
      <c r="R33" s="66">
        <v>25</v>
      </c>
      <c r="S33" s="66">
        <v>0</v>
      </c>
    </row>
    <row r="34" spans="1:19">
      <c r="A34" s="48" t="s">
        <v>56</v>
      </c>
      <c r="B34" s="48">
        <v>24</v>
      </c>
      <c r="C34" s="48">
        <v>0</v>
      </c>
      <c r="D34" s="48">
        <v>24</v>
      </c>
      <c r="E34" s="48">
        <v>8</v>
      </c>
      <c r="F34" s="48">
        <v>7</v>
      </c>
      <c r="G34" s="66">
        <v>9</v>
      </c>
      <c r="H34" s="66">
        <v>0</v>
      </c>
      <c r="I34" s="48">
        <v>24</v>
      </c>
      <c r="L34" s="48" t="s">
        <v>53</v>
      </c>
      <c r="M34" s="48">
        <v>54</v>
      </c>
      <c r="N34" s="48">
        <v>3</v>
      </c>
      <c r="O34" s="48">
        <v>57</v>
      </c>
      <c r="P34" s="48">
        <v>11</v>
      </c>
      <c r="Q34" s="48">
        <v>20</v>
      </c>
      <c r="R34" s="66">
        <v>26</v>
      </c>
      <c r="S34" s="66">
        <v>0</v>
      </c>
    </row>
    <row r="35" spans="1:19">
      <c r="A35" s="48" t="s">
        <v>57</v>
      </c>
      <c r="B35" s="48">
        <v>31</v>
      </c>
      <c r="C35" s="48">
        <v>0</v>
      </c>
      <c r="D35" s="48">
        <v>31</v>
      </c>
      <c r="E35" s="48">
        <v>3</v>
      </c>
      <c r="F35" s="48">
        <v>28</v>
      </c>
      <c r="G35" s="66">
        <v>0</v>
      </c>
      <c r="H35" s="66">
        <v>0</v>
      </c>
      <c r="I35" s="48">
        <v>31</v>
      </c>
      <c r="L35" s="48" t="s">
        <v>54</v>
      </c>
      <c r="M35" s="48">
        <v>76</v>
      </c>
      <c r="N35" s="48">
        <v>4</v>
      </c>
      <c r="O35" s="48">
        <v>80</v>
      </c>
      <c r="P35" s="48">
        <v>12</v>
      </c>
      <c r="Q35" s="48">
        <v>33</v>
      </c>
      <c r="R35" s="66">
        <v>35</v>
      </c>
      <c r="S35" s="66">
        <v>0</v>
      </c>
    </row>
    <row r="36" spans="1:19">
      <c r="A36" s="51" t="s">
        <v>58</v>
      </c>
      <c r="B36" s="51">
        <v>838</v>
      </c>
      <c r="C36" s="51">
        <v>47</v>
      </c>
      <c r="D36" s="51">
        <v>885</v>
      </c>
      <c r="E36" s="51">
        <v>128</v>
      </c>
      <c r="F36" s="51">
        <v>484</v>
      </c>
      <c r="G36" s="68">
        <v>273</v>
      </c>
      <c r="H36" s="68">
        <v>0</v>
      </c>
      <c r="I36" s="51">
        <v>885</v>
      </c>
      <c r="L36" s="48" t="s">
        <v>55</v>
      </c>
      <c r="M36" s="48">
        <v>40</v>
      </c>
      <c r="N36" s="48">
        <v>1</v>
      </c>
      <c r="O36" s="48">
        <v>41</v>
      </c>
      <c r="P36" s="48">
        <v>7</v>
      </c>
      <c r="Q36" s="48">
        <v>24</v>
      </c>
      <c r="R36" s="66">
        <v>10</v>
      </c>
      <c r="S36" s="66">
        <v>0</v>
      </c>
    </row>
    <row r="37" spans="1:19">
      <c r="A37" s="48" t="s">
        <v>59</v>
      </c>
      <c r="B37" s="48">
        <v>320</v>
      </c>
      <c r="C37" s="48">
        <v>23</v>
      </c>
      <c r="D37" s="48">
        <v>343</v>
      </c>
      <c r="E37" s="48">
        <v>90</v>
      </c>
      <c r="F37" s="48">
        <v>121</v>
      </c>
      <c r="G37" s="66">
        <v>132</v>
      </c>
      <c r="H37" s="66">
        <v>0</v>
      </c>
      <c r="I37" s="48">
        <v>343</v>
      </c>
      <c r="R37">
        <f>SUM(R32:R36)</f>
        <v>191</v>
      </c>
      <c r="S37">
        <f>SUM(S32:S36)</f>
        <v>0</v>
      </c>
    </row>
    <row r="38" spans="1:19">
      <c r="A38" s="48" t="s">
        <v>60</v>
      </c>
      <c r="B38" s="48">
        <v>283</v>
      </c>
      <c r="C38" s="48">
        <v>0</v>
      </c>
      <c r="D38" s="48">
        <v>283</v>
      </c>
      <c r="E38" s="48">
        <v>40</v>
      </c>
      <c r="F38" s="48">
        <v>37</v>
      </c>
      <c r="G38" s="66">
        <v>197</v>
      </c>
      <c r="H38" s="66">
        <v>9</v>
      </c>
      <c r="I38" s="48">
        <v>283</v>
      </c>
    </row>
    <row r="39" spans="1:19">
      <c r="A39" s="48" t="s">
        <v>61</v>
      </c>
      <c r="B39" s="48">
        <v>177</v>
      </c>
      <c r="C39" s="48">
        <v>8</v>
      </c>
      <c r="D39" s="48">
        <v>185</v>
      </c>
      <c r="E39" s="48">
        <v>26</v>
      </c>
      <c r="F39" s="48">
        <v>43</v>
      </c>
      <c r="G39" s="66">
        <v>116</v>
      </c>
      <c r="H39" s="66">
        <v>0</v>
      </c>
      <c r="I39" s="48">
        <v>185</v>
      </c>
    </row>
    <row r="40" spans="1:19" ht="16" thickBot="1">
      <c r="A40" s="50" t="s">
        <v>62</v>
      </c>
      <c r="B40" s="50">
        <v>1618</v>
      </c>
      <c r="C40" s="50">
        <v>78</v>
      </c>
      <c r="D40" s="50">
        <v>1696</v>
      </c>
      <c r="E40" s="50">
        <v>284</v>
      </c>
      <c r="F40" s="50">
        <v>685</v>
      </c>
      <c r="G40" s="67">
        <v>718</v>
      </c>
      <c r="H40" s="67">
        <v>9</v>
      </c>
      <c r="I40" s="50">
        <v>1696</v>
      </c>
    </row>
    <row r="41" spans="1:19" ht="16" thickTop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BB8B-E5CC-B044-8050-046191F547CF}">
  <dimension ref="A1:U30"/>
  <sheetViews>
    <sheetView workbookViewId="0"/>
  </sheetViews>
  <sheetFormatPr baseColWidth="10" defaultRowHeight="15"/>
  <cols>
    <col min="1" max="1" width="25.5" customWidth="1"/>
    <col min="13" max="13" width="30.33203125" customWidth="1"/>
  </cols>
  <sheetData>
    <row r="1" spans="1:20">
      <c r="A1" s="116" t="s">
        <v>186</v>
      </c>
    </row>
    <row r="2" spans="1:20" ht="16" thickBot="1">
      <c r="A2" s="49" t="s">
        <v>37</v>
      </c>
      <c r="B2" s="49" t="s">
        <v>38</v>
      </c>
      <c r="C2" s="49" t="s">
        <v>39</v>
      </c>
      <c r="D2" s="49" t="s">
        <v>40</v>
      </c>
      <c r="E2" s="49" t="s">
        <v>41</v>
      </c>
      <c r="F2" s="49" t="s">
        <v>42</v>
      </c>
      <c r="G2" s="49" t="s">
        <v>43</v>
      </c>
      <c r="H2" s="49" t="s">
        <v>44</v>
      </c>
      <c r="I2" s="49" t="s">
        <v>72</v>
      </c>
      <c r="J2" s="49" t="s">
        <v>46</v>
      </c>
      <c r="M2" s="70"/>
      <c r="N2" s="49" t="s">
        <v>38</v>
      </c>
      <c r="O2" s="49" t="s">
        <v>39</v>
      </c>
      <c r="P2" s="49" t="s">
        <v>40</v>
      </c>
      <c r="Q2" s="49" t="s">
        <v>41</v>
      </c>
      <c r="R2" s="49" t="s">
        <v>42</v>
      </c>
      <c r="S2" s="62" t="s">
        <v>43</v>
      </c>
      <c r="T2" s="62" t="s">
        <v>44</v>
      </c>
    </row>
    <row r="3" spans="1:20" ht="16" thickBot="1">
      <c r="A3" s="48" t="s">
        <v>36</v>
      </c>
      <c r="B3" s="48"/>
      <c r="C3" s="48"/>
      <c r="D3" s="48"/>
      <c r="E3" s="48"/>
      <c r="F3" s="48"/>
      <c r="G3" s="48"/>
      <c r="H3" s="48"/>
      <c r="I3" s="48"/>
      <c r="J3" s="48"/>
      <c r="M3" s="71" t="s">
        <v>81</v>
      </c>
    </row>
    <row r="4" spans="1:20">
      <c r="A4" s="48" t="s">
        <v>74</v>
      </c>
      <c r="B4" s="48">
        <v>1677</v>
      </c>
      <c r="C4" s="48">
        <v>614</v>
      </c>
      <c r="D4" s="66">
        <v>2291</v>
      </c>
      <c r="E4" s="48">
        <v>1970</v>
      </c>
      <c r="F4" s="48">
        <v>223</v>
      </c>
      <c r="G4" s="66">
        <v>98</v>
      </c>
      <c r="H4" s="66">
        <v>0</v>
      </c>
      <c r="I4" s="48">
        <v>2291</v>
      </c>
      <c r="J4" s="48">
        <v>0</v>
      </c>
      <c r="M4" s="48" t="s">
        <v>75</v>
      </c>
      <c r="N4" s="48">
        <v>2214</v>
      </c>
      <c r="O4" s="48">
        <v>1100</v>
      </c>
      <c r="P4" s="66">
        <v>3314</v>
      </c>
      <c r="Q4" s="48">
        <v>3130</v>
      </c>
      <c r="R4" s="48">
        <v>146</v>
      </c>
      <c r="S4" s="66">
        <v>38</v>
      </c>
      <c r="T4" s="66">
        <v>0</v>
      </c>
    </row>
    <row r="5" spans="1:20">
      <c r="A5" s="48" t="s">
        <v>75</v>
      </c>
      <c r="B5" s="48">
        <v>2214</v>
      </c>
      <c r="C5" s="48">
        <v>1100</v>
      </c>
      <c r="D5" s="66">
        <v>3314</v>
      </c>
      <c r="E5" s="48">
        <v>3130</v>
      </c>
      <c r="F5" s="48">
        <v>146</v>
      </c>
      <c r="G5" s="66">
        <v>38</v>
      </c>
      <c r="H5" s="66">
        <v>0</v>
      </c>
      <c r="I5" s="48">
        <v>3314</v>
      </c>
      <c r="J5" s="48">
        <v>0</v>
      </c>
      <c r="M5" s="48" t="s">
        <v>50</v>
      </c>
      <c r="N5" s="48">
        <v>2542</v>
      </c>
      <c r="O5" s="48">
        <v>1733</v>
      </c>
      <c r="P5" s="66">
        <v>4275</v>
      </c>
      <c r="Q5" s="48">
        <v>3821</v>
      </c>
      <c r="R5" s="48">
        <v>387</v>
      </c>
      <c r="S5" s="66">
        <v>67</v>
      </c>
      <c r="T5" s="66">
        <v>0</v>
      </c>
    </row>
    <row r="6" spans="1:20">
      <c r="A6" s="48" t="s">
        <v>50</v>
      </c>
      <c r="B6" s="48">
        <v>2542</v>
      </c>
      <c r="C6" s="48">
        <v>1733</v>
      </c>
      <c r="D6" s="66">
        <v>4275</v>
      </c>
      <c r="E6" s="48">
        <v>3821</v>
      </c>
      <c r="F6" s="48">
        <v>387</v>
      </c>
      <c r="G6" s="66">
        <v>67</v>
      </c>
      <c r="H6" s="66">
        <v>0</v>
      </c>
      <c r="I6" s="48">
        <v>4275</v>
      </c>
      <c r="J6" s="48">
        <v>0</v>
      </c>
      <c r="M6" s="48" t="s">
        <v>78</v>
      </c>
      <c r="N6" s="48">
        <v>521</v>
      </c>
      <c r="O6" s="48">
        <v>504</v>
      </c>
      <c r="P6" s="66">
        <v>1025</v>
      </c>
      <c r="Q6" s="48">
        <v>957</v>
      </c>
      <c r="R6" s="48">
        <v>65</v>
      </c>
      <c r="S6" s="66">
        <v>3</v>
      </c>
      <c r="T6" s="66">
        <v>0</v>
      </c>
    </row>
    <row r="7" spans="1:20" ht="16" thickBot="1">
      <c r="A7" s="48" t="s">
        <v>76</v>
      </c>
      <c r="B7" s="48">
        <v>4685</v>
      </c>
      <c r="C7" s="48">
        <v>1308</v>
      </c>
      <c r="D7" s="66">
        <v>5993</v>
      </c>
      <c r="E7" s="48">
        <v>2880</v>
      </c>
      <c r="F7" s="48">
        <v>2404</v>
      </c>
      <c r="G7" s="66">
        <v>709</v>
      </c>
      <c r="H7" s="66">
        <v>0</v>
      </c>
      <c r="I7" s="48">
        <v>5993</v>
      </c>
      <c r="J7" s="48">
        <v>0</v>
      </c>
      <c r="P7">
        <f>SUM(P4:P6)</f>
        <v>8614</v>
      </c>
      <c r="S7">
        <f>SUM(S4:S6)</f>
        <v>108</v>
      </c>
      <c r="T7">
        <f>SUM(T4:T6)</f>
        <v>0</v>
      </c>
    </row>
    <row r="8" spans="1:20" ht="16" thickBot="1">
      <c r="A8" s="48" t="s">
        <v>77</v>
      </c>
      <c r="B8" s="48">
        <v>2209</v>
      </c>
      <c r="C8" s="48">
        <v>632</v>
      </c>
      <c r="D8" s="66">
        <v>2841</v>
      </c>
      <c r="E8" s="48">
        <v>2448</v>
      </c>
      <c r="F8" s="48">
        <v>347</v>
      </c>
      <c r="G8" s="66">
        <v>46</v>
      </c>
      <c r="H8" s="66">
        <v>0</v>
      </c>
      <c r="I8" s="48">
        <v>2841</v>
      </c>
      <c r="J8" s="48">
        <v>0</v>
      </c>
      <c r="M8" s="71" t="s">
        <v>80</v>
      </c>
    </row>
    <row r="9" spans="1:20">
      <c r="A9" s="48" t="s">
        <v>78</v>
      </c>
      <c r="B9" s="48">
        <v>521</v>
      </c>
      <c r="C9" s="48">
        <v>504</v>
      </c>
      <c r="D9" s="66">
        <v>1025</v>
      </c>
      <c r="E9" s="48">
        <v>957</v>
      </c>
      <c r="F9" s="48">
        <v>65</v>
      </c>
      <c r="G9" s="66">
        <v>3</v>
      </c>
      <c r="H9" s="66">
        <v>0</v>
      </c>
      <c r="I9" s="48">
        <v>1025</v>
      </c>
      <c r="J9" s="48">
        <v>0</v>
      </c>
      <c r="M9" s="48" t="s">
        <v>74</v>
      </c>
      <c r="N9" s="48">
        <v>1677</v>
      </c>
      <c r="O9" s="48">
        <v>614</v>
      </c>
      <c r="P9" s="66">
        <v>2291</v>
      </c>
      <c r="Q9" s="48">
        <v>1970</v>
      </c>
      <c r="R9" s="48">
        <v>223</v>
      </c>
      <c r="S9" s="66">
        <v>98</v>
      </c>
      <c r="T9" s="66">
        <v>0</v>
      </c>
    </row>
    <row r="10" spans="1:20">
      <c r="A10" s="48" t="s">
        <v>79</v>
      </c>
      <c r="B10" s="48">
        <v>4831</v>
      </c>
      <c r="C10" s="48">
        <v>2189</v>
      </c>
      <c r="D10" s="66">
        <v>7020</v>
      </c>
      <c r="E10" s="48">
        <v>6108</v>
      </c>
      <c r="F10" s="48">
        <v>686</v>
      </c>
      <c r="G10" s="66">
        <v>226</v>
      </c>
      <c r="H10" s="66">
        <v>0</v>
      </c>
      <c r="I10" s="48">
        <v>7020</v>
      </c>
      <c r="J10" s="48">
        <v>0</v>
      </c>
      <c r="M10" s="48" t="s">
        <v>76</v>
      </c>
      <c r="N10" s="48">
        <v>4685</v>
      </c>
      <c r="O10" s="48">
        <v>1308</v>
      </c>
      <c r="P10" s="66">
        <v>5993</v>
      </c>
      <c r="Q10" s="48">
        <v>2880</v>
      </c>
      <c r="R10" s="48">
        <v>2404</v>
      </c>
      <c r="S10" s="66">
        <v>709</v>
      </c>
      <c r="T10" s="66">
        <v>0</v>
      </c>
    </row>
    <row r="11" spans="1:20">
      <c r="A11" s="51" t="s">
        <v>59</v>
      </c>
      <c r="B11" s="51">
        <v>7360</v>
      </c>
      <c r="C11" s="51">
        <v>2365</v>
      </c>
      <c r="D11" s="68">
        <v>9725</v>
      </c>
      <c r="E11" s="51">
        <v>7571</v>
      </c>
      <c r="F11" s="51">
        <v>1483</v>
      </c>
      <c r="G11" s="68">
        <v>671</v>
      </c>
      <c r="H11" s="68">
        <v>0</v>
      </c>
      <c r="I11" s="51">
        <v>9725</v>
      </c>
      <c r="J11" s="51">
        <v>243</v>
      </c>
      <c r="M11" s="48" t="s">
        <v>77</v>
      </c>
      <c r="N11" s="48">
        <v>2209</v>
      </c>
      <c r="O11" s="48">
        <v>632</v>
      </c>
      <c r="P11" s="66">
        <v>2841</v>
      </c>
      <c r="Q11" s="48">
        <v>2448</v>
      </c>
      <c r="R11" s="48">
        <v>347</v>
      </c>
      <c r="S11" s="66">
        <v>46</v>
      </c>
      <c r="T11" s="66">
        <v>0</v>
      </c>
    </row>
    <row r="12" spans="1:20">
      <c r="A12" s="48" t="s">
        <v>60</v>
      </c>
      <c r="B12" s="48">
        <v>29407</v>
      </c>
      <c r="C12" s="48">
        <v>1245</v>
      </c>
      <c r="D12" s="66">
        <v>30652</v>
      </c>
      <c r="E12" s="48">
        <v>28167</v>
      </c>
      <c r="F12" s="48">
        <v>1452</v>
      </c>
      <c r="G12" s="66">
        <v>930</v>
      </c>
      <c r="H12" s="66">
        <v>103</v>
      </c>
      <c r="I12" s="48">
        <v>30652</v>
      </c>
      <c r="J12" s="48">
        <v>0</v>
      </c>
      <c r="M12" s="48" t="s">
        <v>79</v>
      </c>
      <c r="N12" s="48">
        <v>4831</v>
      </c>
      <c r="O12" s="48">
        <v>2189</v>
      </c>
      <c r="P12" s="66">
        <v>7020</v>
      </c>
      <c r="Q12" s="48">
        <v>6108</v>
      </c>
      <c r="R12" s="48">
        <v>686</v>
      </c>
      <c r="S12" s="66">
        <v>226</v>
      </c>
      <c r="T12" s="66">
        <v>0</v>
      </c>
    </row>
    <row r="13" spans="1:20">
      <c r="A13" s="48" t="s">
        <v>61</v>
      </c>
      <c r="B13" s="48">
        <v>2704</v>
      </c>
      <c r="C13" s="48">
        <v>2856</v>
      </c>
      <c r="D13" s="66">
        <v>5560</v>
      </c>
      <c r="E13" s="48">
        <v>4909</v>
      </c>
      <c r="F13" s="48">
        <v>393</v>
      </c>
      <c r="G13" s="66">
        <v>258</v>
      </c>
      <c r="H13" s="66">
        <v>0</v>
      </c>
      <c r="I13" s="48">
        <v>5560</v>
      </c>
      <c r="J13" s="48">
        <v>0</v>
      </c>
      <c r="P13">
        <f>SUM(P9:P12)</f>
        <v>18145</v>
      </c>
      <c r="S13">
        <f>SUM(S9:S12)</f>
        <v>1079</v>
      </c>
      <c r="T13">
        <f>SUM(T9:T12)</f>
        <v>0</v>
      </c>
    </row>
    <row r="14" spans="1:20" ht="16" thickBot="1">
      <c r="A14" s="50" t="s">
        <v>62</v>
      </c>
      <c r="B14" s="50">
        <v>58150</v>
      </c>
      <c r="C14" s="50">
        <v>14546</v>
      </c>
      <c r="D14" s="67">
        <v>72696</v>
      </c>
      <c r="E14" s="50">
        <v>61961</v>
      </c>
      <c r="F14" s="50">
        <v>7586</v>
      </c>
      <c r="G14" s="67">
        <v>3046</v>
      </c>
      <c r="H14" s="67">
        <v>103</v>
      </c>
      <c r="I14" s="50">
        <v>72696</v>
      </c>
      <c r="J14" s="50">
        <v>243</v>
      </c>
    </row>
    <row r="15" spans="1:20" ht="16" thickTop="1"/>
    <row r="17" spans="1:21" ht="16" thickBot="1">
      <c r="A17" s="49" t="s">
        <v>71</v>
      </c>
      <c r="B17" s="49" t="s">
        <v>63</v>
      </c>
      <c r="C17" s="49" t="s">
        <v>64</v>
      </c>
      <c r="D17" s="49" t="s">
        <v>65</v>
      </c>
      <c r="E17" s="49" t="s">
        <v>66</v>
      </c>
      <c r="F17" s="49" t="s">
        <v>67</v>
      </c>
      <c r="G17" s="49" t="s">
        <v>68</v>
      </c>
      <c r="H17" s="49" t="s">
        <v>69</v>
      </c>
      <c r="I17" s="49" t="s">
        <v>73</v>
      </c>
      <c r="M17" s="49" t="s">
        <v>71</v>
      </c>
      <c r="N17" s="49" t="s">
        <v>63</v>
      </c>
      <c r="O17" s="49" t="s">
        <v>64</v>
      </c>
      <c r="P17" s="49" t="s">
        <v>65</v>
      </c>
      <c r="Q17" s="49" t="s">
        <v>66</v>
      </c>
      <c r="R17" s="49" t="s">
        <v>67</v>
      </c>
      <c r="S17" s="49" t="s">
        <v>68</v>
      </c>
      <c r="T17" s="49" t="s">
        <v>69</v>
      </c>
      <c r="U17" s="49" t="s">
        <v>73</v>
      </c>
    </row>
    <row r="18" spans="1:21" ht="16" thickBot="1">
      <c r="A18" s="48" t="s">
        <v>36</v>
      </c>
      <c r="B18" s="48"/>
      <c r="C18" s="48"/>
      <c r="D18" s="48"/>
      <c r="E18" s="48"/>
      <c r="F18" s="48"/>
      <c r="G18" s="48"/>
      <c r="H18" s="48"/>
      <c r="I18" s="48"/>
      <c r="M18" s="71" t="s">
        <v>81</v>
      </c>
    </row>
    <row r="19" spans="1:21">
      <c r="A19" s="48" t="s">
        <v>74</v>
      </c>
      <c r="B19" s="48">
        <v>59</v>
      </c>
      <c r="C19" s="48">
        <v>4</v>
      </c>
      <c r="D19" s="48">
        <v>63</v>
      </c>
      <c r="E19" s="48">
        <v>10</v>
      </c>
      <c r="F19" s="48">
        <v>15</v>
      </c>
      <c r="G19" s="66">
        <v>38</v>
      </c>
      <c r="H19" s="66">
        <v>0</v>
      </c>
      <c r="I19" s="48">
        <v>63</v>
      </c>
      <c r="M19" s="48" t="s">
        <v>75</v>
      </c>
      <c r="N19" s="48">
        <v>32</v>
      </c>
      <c r="O19" s="48">
        <v>1</v>
      </c>
      <c r="P19" s="48">
        <v>33</v>
      </c>
      <c r="Q19" s="48">
        <v>13</v>
      </c>
      <c r="R19" s="48">
        <v>18</v>
      </c>
      <c r="S19" s="66">
        <v>2</v>
      </c>
      <c r="T19" s="66">
        <v>0</v>
      </c>
    </row>
    <row r="20" spans="1:21">
      <c r="A20" s="48" t="s">
        <v>75</v>
      </c>
      <c r="B20" s="48">
        <v>32</v>
      </c>
      <c r="C20" s="48">
        <v>1</v>
      </c>
      <c r="D20" s="48">
        <v>33</v>
      </c>
      <c r="E20" s="48">
        <v>13</v>
      </c>
      <c r="F20" s="48">
        <v>18</v>
      </c>
      <c r="G20" s="66">
        <v>2</v>
      </c>
      <c r="H20" s="66">
        <v>0</v>
      </c>
      <c r="I20" s="48">
        <v>33</v>
      </c>
      <c r="M20" s="48" t="s">
        <v>50</v>
      </c>
      <c r="N20" s="48">
        <v>53</v>
      </c>
      <c r="O20" s="48">
        <v>9</v>
      </c>
      <c r="P20" s="48">
        <v>62</v>
      </c>
      <c r="Q20" s="48">
        <v>17</v>
      </c>
      <c r="R20" s="48">
        <v>27</v>
      </c>
      <c r="S20" s="66">
        <v>18</v>
      </c>
      <c r="T20" s="66">
        <v>0</v>
      </c>
    </row>
    <row r="21" spans="1:21">
      <c r="A21" s="48" t="s">
        <v>50</v>
      </c>
      <c r="B21" s="48">
        <v>53</v>
      </c>
      <c r="C21" s="48">
        <v>9</v>
      </c>
      <c r="D21" s="48">
        <v>62</v>
      </c>
      <c r="E21" s="48">
        <v>17</v>
      </c>
      <c r="F21" s="48">
        <v>27</v>
      </c>
      <c r="G21" s="66">
        <v>18</v>
      </c>
      <c r="H21" s="66">
        <v>0</v>
      </c>
      <c r="I21" s="48">
        <v>62</v>
      </c>
      <c r="M21" s="48" t="s">
        <v>78</v>
      </c>
      <c r="N21" s="48">
        <v>25</v>
      </c>
      <c r="O21" s="48">
        <v>2</v>
      </c>
      <c r="P21" s="48">
        <v>27</v>
      </c>
      <c r="Q21" s="48">
        <v>5</v>
      </c>
      <c r="R21" s="48">
        <v>20</v>
      </c>
      <c r="S21" s="66">
        <v>2</v>
      </c>
      <c r="T21" s="66">
        <v>0</v>
      </c>
    </row>
    <row r="22" spans="1:21" ht="16" thickBot="1">
      <c r="A22" s="48" t="s">
        <v>76</v>
      </c>
      <c r="B22" s="48">
        <v>557</v>
      </c>
      <c r="C22" s="48">
        <v>20</v>
      </c>
      <c r="D22" s="48">
        <v>577</v>
      </c>
      <c r="E22" s="48">
        <v>40</v>
      </c>
      <c r="F22" s="48">
        <v>388</v>
      </c>
      <c r="G22" s="66">
        <v>149</v>
      </c>
      <c r="H22" s="66">
        <v>0</v>
      </c>
      <c r="I22" s="48">
        <v>577</v>
      </c>
      <c r="S22">
        <f>SUM(S19:S21)</f>
        <v>22</v>
      </c>
      <c r="T22">
        <f>SUM(T19:T21)</f>
        <v>0</v>
      </c>
    </row>
    <row r="23" spans="1:21" ht="16" thickBot="1">
      <c r="A23" s="48" t="s">
        <v>77</v>
      </c>
      <c r="B23" s="48">
        <v>67</v>
      </c>
      <c r="C23" s="48">
        <v>3</v>
      </c>
      <c r="D23" s="48">
        <v>70</v>
      </c>
      <c r="E23" s="48">
        <v>11</v>
      </c>
      <c r="F23" s="48">
        <v>34</v>
      </c>
      <c r="G23" s="66">
        <v>25</v>
      </c>
      <c r="H23" s="66">
        <v>0</v>
      </c>
      <c r="I23" s="48">
        <v>70</v>
      </c>
      <c r="M23" s="71" t="s">
        <v>80</v>
      </c>
    </row>
    <row r="24" spans="1:21">
      <c r="A24" s="48" t="s">
        <v>78</v>
      </c>
      <c r="B24" s="48">
        <v>25</v>
      </c>
      <c r="C24" s="48">
        <v>2</v>
      </c>
      <c r="D24" s="48">
        <v>27</v>
      </c>
      <c r="E24" s="48">
        <v>5</v>
      </c>
      <c r="F24" s="48">
        <v>20</v>
      </c>
      <c r="G24" s="66">
        <v>2</v>
      </c>
      <c r="H24" s="66">
        <v>0</v>
      </c>
      <c r="I24" s="48">
        <v>27</v>
      </c>
      <c r="M24" s="48" t="s">
        <v>74</v>
      </c>
      <c r="N24" s="48">
        <v>59</v>
      </c>
      <c r="O24" s="48">
        <v>4</v>
      </c>
      <c r="P24" s="48">
        <v>63</v>
      </c>
      <c r="Q24" s="48">
        <v>10</v>
      </c>
      <c r="R24" s="48">
        <v>15</v>
      </c>
      <c r="S24" s="66">
        <v>38</v>
      </c>
      <c r="T24" s="66">
        <v>0</v>
      </c>
    </row>
    <row r="25" spans="1:21">
      <c r="A25" s="48" t="s">
        <v>79</v>
      </c>
      <c r="B25" s="48">
        <v>175</v>
      </c>
      <c r="C25" s="48">
        <v>13</v>
      </c>
      <c r="D25" s="48">
        <v>188</v>
      </c>
      <c r="E25" s="48">
        <v>41</v>
      </c>
      <c r="F25" s="48">
        <v>62</v>
      </c>
      <c r="G25" s="66">
        <v>85</v>
      </c>
      <c r="H25" s="66">
        <v>0</v>
      </c>
      <c r="I25" s="48">
        <v>188</v>
      </c>
      <c r="M25" s="48" t="s">
        <v>76</v>
      </c>
      <c r="N25" s="48">
        <v>557</v>
      </c>
      <c r="O25" s="48">
        <v>20</v>
      </c>
      <c r="P25" s="48">
        <v>577</v>
      </c>
      <c r="Q25" s="48">
        <v>40</v>
      </c>
      <c r="R25" s="48">
        <v>388</v>
      </c>
      <c r="S25" s="66">
        <v>149</v>
      </c>
      <c r="T25" s="66">
        <v>0</v>
      </c>
    </row>
    <row r="26" spans="1:21">
      <c r="A26" s="51" t="s">
        <v>59</v>
      </c>
      <c r="B26" s="51">
        <v>313</v>
      </c>
      <c r="C26" s="51">
        <v>20</v>
      </c>
      <c r="D26" s="51">
        <v>333</v>
      </c>
      <c r="E26" s="51">
        <v>53</v>
      </c>
      <c r="F26" s="51">
        <v>93</v>
      </c>
      <c r="G26" s="68">
        <v>187</v>
      </c>
      <c r="H26" s="68">
        <v>0</v>
      </c>
      <c r="I26" s="51">
        <v>333</v>
      </c>
      <c r="M26" s="48" t="s">
        <v>77</v>
      </c>
      <c r="N26" s="48">
        <v>67</v>
      </c>
      <c r="O26" s="48">
        <v>3</v>
      </c>
      <c r="P26" s="48">
        <v>70</v>
      </c>
      <c r="Q26" s="48">
        <v>11</v>
      </c>
      <c r="R26" s="48">
        <v>34</v>
      </c>
      <c r="S26" s="66">
        <v>25</v>
      </c>
      <c r="T26" s="66">
        <v>0</v>
      </c>
    </row>
    <row r="27" spans="1:21">
      <c r="A27" s="48" t="s">
        <v>60</v>
      </c>
      <c r="B27" s="48">
        <v>382</v>
      </c>
      <c r="C27" s="48">
        <v>0</v>
      </c>
      <c r="D27" s="48">
        <v>382</v>
      </c>
      <c r="E27" s="48">
        <v>35</v>
      </c>
      <c r="F27" s="48">
        <v>41</v>
      </c>
      <c r="G27" s="66">
        <v>275</v>
      </c>
      <c r="H27" s="66">
        <v>31</v>
      </c>
      <c r="I27" s="48">
        <v>382</v>
      </c>
      <c r="M27" s="48" t="s">
        <v>79</v>
      </c>
      <c r="N27" s="48">
        <v>175</v>
      </c>
      <c r="O27" s="48">
        <v>13</v>
      </c>
      <c r="P27" s="48">
        <v>188</v>
      </c>
      <c r="Q27" s="48">
        <v>41</v>
      </c>
      <c r="R27" s="48">
        <v>62</v>
      </c>
      <c r="S27" s="66">
        <v>85</v>
      </c>
      <c r="T27" s="66">
        <v>0</v>
      </c>
    </row>
    <row r="28" spans="1:21">
      <c r="A28" s="48" t="s">
        <v>61</v>
      </c>
      <c r="B28" s="48">
        <v>222</v>
      </c>
      <c r="C28" s="48">
        <v>7</v>
      </c>
      <c r="D28" s="48">
        <v>229</v>
      </c>
      <c r="E28" s="48">
        <v>32</v>
      </c>
      <c r="F28" s="48">
        <v>38</v>
      </c>
      <c r="G28" s="66">
        <v>159</v>
      </c>
      <c r="H28" s="66">
        <v>0</v>
      </c>
      <c r="I28" s="48">
        <v>229</v>
      </c>
      <c r="S28">
        <f>SUM(S24:S27)</f>
        <v>297</v>
      </c>
      <c r="T28">
        <f>SUM(T24:T27)</f>
        <v>0</v>
      </c>
    </row>
    <row r="29" spans="1:21" ht="16" thickBot="1">
      <c r="A29" s="50" t="s">
        <v>62</v>
      </c>
      <c r="B29" s="50">
        <v>1885</v>
      </c>
      <c r="C29" s="50">
        <v>79</v>
      </c>
      <c r="D29" s="50">
        <v>1964</v>
      </c>
      <c r="E29" s="50">
        <v>257</v>
      </c>
      <c r="F29" s="50">
        <v>736</v>
      </c>
      <c r="G29" s="67">
        <v>940</v>
      </c>
      <c r="H29" s="67">
        <v>31</v>
      </c>
      <c r="I29" s="50">
        <v>1964</v>
      </c>
    </row>
    <row r="30" spans="1:21" ht="16" thickTop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AFD2-FFFB-1C41-88CA-3F8CC21DE04E}">
  <dimension ref="A1:T31"/>
  <sheetViews>
    <sheetView workbookViewId="0">
      <selection activeCell="E12" sqref="E12"/>
    </sheetView>
  </sheetViews>
  <sheetFormatPr baseColWidth="10" defaultRowHeight="15"/>
  <cols>
    <col min="1" max="1" width="36.83203125" customWidth="1"/>
    <col min="12" max="12" width="28.1640625" customWidth="1"/>
  </cols>
  <sheetData>
    <row r="1" spans="1:19">
      <c r="A1" s="116" t="s">
        <v>186</v>
      </c>
    </row>
    <row r="2" spans="1:19" ht="16" thickBot="1">
      <c r="A2" s="49" t="s">
        <v>37</v>
      </c>
      <c r="B2" s="49" t="s">
        <v>38</v>
      </c>
      <c r="C2" s="49" t="s">
        <v>39</v>
      </c>
      <c r="D2" s="49" t="s">
        <v>40</v>
      </c>
      <c r="E2" s="49" t="s">
        <v>41</v>
      </c>
      <c r="F2" s="49" t="s">
        <v>42</v>
      </c>
      <c r="G2" s="49" t="s">
        <v>43</v>
      </c>
      <c r="H2" s="49" t="s">
        <v>44</v>
      </c>
      <c r="I2" s="49" t="s">
        <v>72</v>
      </c>
      <c r="J2" s="49" t="s">
        <v>46</v>
      </c>
      <c r="L2" s="70"/>
      <c r="M2" s="49" t="s">
        <v>38</v>
      </c>
      <c r="N2" s="49" t="s">
        <v>39</v>
      </c>
      <c r="O2" s="49" t="s">
        <v>40</v>
      </c>
      <c r="P2" s="49" t="s">
        <v>41</v>
      </c>
      <c r="Q2" s="49" t="s">
        <v>42</v>
      </c>
      <c r="R2" s="62" t="s">
        <v>43</v>
      </c>
      <c r="S2" s="62" t="s">
        <v>44</v>
      </c>
    </row>
    <row r="3" spans="1:19" ht="16" thickBot="1">
      <c r="A3" s="48" t="s">
        <v>36</v>
      </c>
      <c r="B3" s="48"/>
      <c r="C3" s="48"/>
      <c r="D3" s="48"/>
      <c r="E3" s="48"/>
      <c r="F3" s="48"/>
      <c r="G3" s="48"/>
      <c r="H3" s="48"/>
      <c r="I3" s="48"/>
      <c r="J3" s="48"/>
      <c r="L3" s="71" t="s">
        <v>81</v>
      </c>
    </row>
    <row r="4" spans="1:19">
      <c r="A4" s="48" t="s">
        <v>74</v>
      </c>
      <c r="B4" s="48">
        <v>1671</v>
      </c>
      <c r="C4" s="48">
        <v>607</v>
      </c>
      <c r="D4" s="63">
        <v>2278</v>
      </c>
      <c r="E4" s="48">
        <v>1740</v>
      </c>
      <c r="F4" s="48">
        <v>439</v>
      </c>
      <c r="G4" s="66">
        <v>99</v>
      </c>
      <c r="H4" s="66">
        <v>0</v>
      </c>
      <c r="I4" s="48">
        <v>2278</v>
      </c>
      <c r="J4" s="48">
        <v>0</v>
      </c>
      <c r="L4" s="48" t="s">
        <v>75</v>
      </c>
      <c r="M4" s="48">
        <v>1815</v>
      </c>
      <c r="N4" s="48">
        <v>919</v>
      </c>
      <c r="O4" s="63">
        <v>2734</v>
      </c>
      <c r="P4" s="48">
        <v>2607</v>
      </c>
      <c r="Q4" s="48">
        <v>91</v>
      </c>
      <c r="R4" s="66">
        <v>36</v>
      </c>
      <c r="S4" s="66">
        <v>0</v>
      </c>
    </row>
    <row r="5" spans="1:19">
      <c r="A5" s="48" t="s">
        <v>75</v>
      </c>
      <c r="B5" s="48">
        <v>1815</v>
      </c>
      <c r="C5" s="48">
        <v>919</v>
      </c>
      <c r="D5" s="63">
        <v>2734</v>
      </c>
      <c r="E5" s="48">
        <v>2607</v>
      </c>
      <c r="F5" s="48">
        <v>91</v>
      </c>
      <c r="G5" s="66">
        <v>36</v>
      </c>
      <c r="H5" s="66">
        <v>0</v>
      </c>
      <c r="I5" s="48">
        <v>2734</v>
      </c>
      <c r="J5" s="48">
        <v>0</v>
      </c>
      <c r="L5" s="48" t="s">
        <v>50</v>
      </c>
      <c r="M5" s="48">
        <v>2547</v>
      </c>
      <c r="N5" s="48">
        <v>1593</v>
      </c>
      <c r="O5" s="63">
        <v>4140</v>
      </c>
      <c r="P5" s="48">
        <v>3346</v>
      </c>
      <c r="Q5" s="48">
        <v>707</v>
      </c>
      <c r="R5" s="66">
        <v>87</v>
      </c>
      <c r="S5" s="66">
        <v>0</v>
      </c>
    </row>
    <row r="6" spans="1:19">
      <c r="A6" s="48" t="s">
        <v>50</v>
      </c>
      <c r="B6" s="48">
        <v>2547</v>
      </c>
      <c r="C6" s="48">
        <v>1593</v>
      </c>
      <c r="D6" s="63">
        <v>4140</v>
      </c>
      <c r="E6" s="48">
        <v>3346</v>
      </c>
      <c r="F6" s="48">
        <v>707</v>
      </c>
      <c r="G6" s="66">
        <v>87</v>
      </c>
      <c r="H6" s="66">
        <v>0</v>
      </c>
      <c r="I6" s="48">
        <v>4140</v>
      </c>
      <c r="J6" s="48">
        <v>0</v>
      </c>
      <c r="L6" s="48" t="s">
        <v>78</v>
      </c>
      <c r="M6" s="48">
        <v>526</v>
      </c>
      <c r="N6" s="48">
        <v>570</v>
      </c>
      <c r="O6" s="63">
        <v>1096</v>
      </c>
      <c r="P6" s="48">
        <v>991</v>
      </c>
      <c r="Q6" s="48">
        <v>96</v>
      </c>
      <c r="R6" s="66">
        <v>9</v>
      </c>
      <c r="S6" s="66">
        <v>0</v>
      </c>
    </row>
    <row r="7" spans="1:19" ht="16" thickBot="1">
      <c r="A7" s="48" t="s">
        <v>76</v>
      </c>
      <c r="B7" s="48">
        <v>4986</v>
      </c>
      <c r="C7" s="48">
        <v>1271</v>
      </c>
      <c r="D7" s="63">
        <v>6257</v>
      </c>
      <c r="E7" s="48">
        <v>2773</v>
      </c>
      <c r="F7" s="48">
        <v>2911</v>
      </c>
      <c r="G7" s="66">
        <v>573</v>
      </c>
      <c r="H7" s="66">
        <v>0</v>
      </c>
      <c r="I7" s="48">
        <v>6257</v>
      </c>
      <c r="J7" s="48">
        <v>0</v>
      </c>
      <c r="O7">
        <f>SUM(O4:O6)</f>
        <v>7970</v>
      </c>
      <c r="R7">
        <f>SUM(R4:R6)</f>
        <v>132</v>
      </c>
      <c r="S7">
        <f>SUM(S4:S6)</f>
        <v>0</v>
      </c>
    </row>
    <row r="8" spans="1:19" ht="16" thickBot="1">
      <c r="A8" s="48" t="s">
        <v>77</v>
      </c>
      <c r="B8" s="48">
        <v>1829</v>
      </c>
      <c r="C8" s="48">
        <v>506</v>
      </c>
      <c r="D8" s="63">
        <v>2335</v>
      </c>
      <c r="E8" s="48">
        <v>1810</v>
      </c>
      <c r="F8" s="48">
        <v>452</v>
      </c>
      <c r="G8" s="66">
        <v>73</v>
      </c>
      <c r="H8" s="66">
        <v>0</v>
      </c>
      <c r="I8" s="48">
        <v>2335</v>
      </c>
      <c r="J8" s="48">
        <v>0</v>
      </c>
      <c r="L8" s="71" t="s">
        <v>80</v>
      </c>
    </row>
    <row r="9" spans="1:19">
      <c r="A9" s="48" t="s">
        <v>78</v>
      </c>
      <c r="B9" s="48">
        <v>526</v>
      </c>
      <c r="C9" s="48">
        <v>570</v>
      </c>
      <c r="D9" s="63">
        <v>1096</v>
      </c>
      <c r="E9" s="48">
        <v>991</v>
      </c>
      <c r="F9" s="48">
        <v>96</v>
      </c>
      <c r="G9" s="66">
        <v>9</v>
      </c>
      <c r="H9" s="66">
        <v>0</v>
      </c>
      <c r="I9" s="48">
        <v>1096</v>
      </c>
      <c r="J9" s="48">
        <v>0</v>
      </c>
      <c r="L9" s="48" t="s">
        <v>74</v>
      </c>
      <c r="M9" s="48">
        <v>1671</v>
      </c>
      <c r="N9" s="48">
        <v>607</v>
      </c>
      <c r="O9" s="63">
        <v>2278</v>
      </c>
      <c r="P9" s="48">
        <v>1740</v>
      </c>
      <c r="Q9" s="48">
        <v>439</v>
      </c>
      <c r="R9" s="66">
        <v>99</v>
      </c>
      <c r="S9" s="66">
        <v>0</v>
      </c>
    </row>
    <row r="10" spans="1:19">
      <c r="A10" s="48" t="s">
        <v>79</v>
      </c>
      <c r="B10" s="48">
        <v>5227</v>
      </c>
      <c r="C10" s="48">
        <v>2114</v>
      </c>
      <c r="D10" s="63">
        <v>7341</v>
      </c>
      <c r="E10" s="48">
        <v>5977</v>
      </c>
      <c r="F10" s="48">
        <v>1139</v>
      </c>
      <c r="G10" s="66">
        <v>225</v>
      </c>
      <c r="H10" s="66">
        <v>0</v>
      </c>
      <c r="I10" s="48">
        <v>7341</v>
      </c>
      <c r="J10" s="48">
        <v>0</v>
      </c>
      <c r="L10" s="48" t="s">
        <v>76</v>
      </c>
      <c r="M10" s="48">
        <v>4986</v>
      </c>
      <c r="N10" s="48">
        <v>1271</v>
      </c>
      <c r="O10" s="63">
        <v>6257</v>
      </c>
      <c r="P10" s="48">
        <v>2773</v>
      </c>
      <c r="Q10" s="48">
        <v>2911</v>
      </c>
      <c r="R10" s="66">
        <v>573</v>
      </c>
      <c r="S10" s="66">
        <v>0</v>
      </c>
    </row>
    <row r="11" spans="1:19">
      <c r="A11" s="51" t="s">
        <v>59</v>
      </c>
      <c r="B11" s="51">
        <v>7260</v>
      </c>
      <c r="C11" s="51">
        <v>1940</v>
      </c>
      <c r="D11" s="64">
        <v>9200</v>
      </c>
      <c r="E11" s="51">
        <v>5977</v>
      </c>
      <c r="F11" s="51">
        <v>2321</v>
      </c>
      <c r="G11" s="68">
        <v>902</v>
      </c>
      <c r="H11" s="68">
        <v>0</v>
      </c>
      <c r="I11" s="51">
        <v>9200</v>
      </c>
      <c r="J11" s="51">
        <v>75</v>
      </c>
      <c r="L11" s="48" t="s">
        <v>77</v>
      </c>
      <c r="M11" s="48">
        <v>1829</v>
      </c>
      <c r="N11" s="48">
        <v>506</v>
      </c>
      <c r="O11" s="63">
        <v>2335</v>
      </c>
      <c r="P11" s="48">
        <v>1810</v>
      </c>
      <c r="Q11" s="48">
        <v>452</v>
      </c>
      <c r="R11" s="66">
        <v>73</v>
      </c>
      <c r="S11" s="66">
        <v>0</v>
      </c>
    </row>
    <row r="12" spans="1:19">
      <c r="A12" s="48" t="s">
        <v>60</v>
      </c>
      <c r="B12" s="48">
        <v>30649</v>
      </c>
      <c r="C12" s="48">
        <v>837</v>
      </c>
      <c r="D12" s="63">
        <v>31486</v>
      </c>
      <c r="E12" s="48">
        <v>27354</v>
      </c>
      <c r="F12" s="48">
        <v>1956</v>
      </c>
      <c r="G12" s="66">
        <v>1992</v>
      </c>
      <c r="H12" s="66">
        <v>184</v>
      </c>
      <c r="I12" s="48">
        <v>31486</v>
      </c>
      <c r="J12" s="48">
        <v>0</v>
      </c>
      <c r="L12" s="48" t="s">
        <v>79</v>
      </c>
      <c r="M12" s="48">
        <v>5227</v>
      </c>
      <c r="N12" s="48">
        <v>2114</v>
      </c>
      <c r="O12" s="63">
        <v>7341</v>
      </c>
      <c r="P12" s="48">
        <v>5977</v>
      </c>
      <c r="Q12" s="48">
        <v>1139</v>
      </c>
      <c r="R12" s="66">
        <v>225</v>
      </c>
      <c r="S12" s="66">
        <v>0</v>
      </c>
    </row>
    <row r="13" spans="1:19">
      <c r="A13" s="48" t="s">
        <v>61</v>
      </c>
      <c r="B13" s="48">
        <v>2766</v>
      </c>
      <c r="C13" s="48">
        <v>2869</v>
      </c>
      <c r="D13" s="63">
        <v>5635</v>
      </c>
      <c r="E13" s="48">
        <v>4837</v>
      </c>
      <c r="F13" s="48">
        <v>556</v>
      </c>
      <c r="G13" s="66">
        <v>242</v>
      </c>
      <c r="H13" s="66">
        <v>0</v>
      </c>
      <c r="I13" s="48">
        <v>5635</v>
      </c>
      <c r="J13" s="48">
        <v>0</v>
      </c>
      <c r="O13">
        <f>SUM(O9:O12)</f>
        <v>18211</v>
      </c>
      <c r="R13">
        <f>SUM(R9:R12)</f>
        <v>970</v>
      </c>
      <c r="S13">
        <f>SUM(S9:S12)</f>
        <v>0</v>
      </c>
    </row>
    <row r="14" spans="1:19" ht="16" thickBot="1">
      <c r="A14" s="50" t="s">
        <v>62</v>
      </c>
      <c r="B14" s="50">
        <v>59276</v>
      </c>
      <c r="C14" s="50">
        <v>13226</v>
      </c>
      <c r="D14" s="65">
        <v>72502</v>
      </c>
      <c r="E14" s="50">
        <v>57412</v>
      </c>
      <c r="F14" s="50">
        <v>10668</v>
      </c>
      <c r="G14" s="67">
        <v>4238</v>
      </c>
      <c r="H14" s="67">
        <v>184</v>
      </c>
      <c r="I14" s="50">
        <v>72502</v>
      </c>
      <c r="J14" s="50">
        <v>75</v>
      </c>
    </row>
    <row r="15" spans="1:19" ht="16" thickTop="1">
      <c r="D15" s="55"/>
    </row>
    <row r="16" spans="1:19">
      <c r="D16" s="55"/>
    </row>
    <row r="17" spans="1:20">
      <c r="D17" s="55"/>
    </row>
    <row r="18" spans="1:20" ht="16" thickBot="1">
      <c r="A18" s="49" t="s">
        <v>71</v>
      </c>
      <c r="B18" s="49" t="s">
        <v>63</v>
      </c>
      <c r="C18" s="49" t="s">
        <v>64</v>
      </c>
      <c r="D18" s="56" t="s">
        <v>65</v>
      </c>
      <c r="E18" s="49" t="s">
        <v>66</v>
      </c>
      <c r="F18" s="49" t="s">
        <v>67</v>
      </c>
      <c r="G18" s="49" t="s">
        <v>68</v>
      </c>
      <c r="H18" s="49" t="s">
        <v>69</v>
      </c>
      <c r="I18" s="49" t="s">
        <v>73</v>
      </c>
      <c r="L18" s="49" t="s">
        <v>71</v>
      </c>
      <c r="M18" s="49" t="s">
        <v>63</v>
      </c>
      <c r="N18" s="49" t="s">
        <v>64</v>
      </c>
      <c r="O18" s="56" t="s">
        <v>65</v>
      </c>
      <c r="P18" s="49" t="s">
        <v>66</v>
      </c>
      <c r="Q18" s="49" t="s">
        <v>67</v>
      </c>
      <c r="R18" s="49" t="s">
        <v>68</v>
      </c>
      <c r="S18" s="49" t="s">
        <v>69</v>
      </c>
      <c r="T18" s="49" t="s">
        <v>73</v>
      </c>
    </row>
    <row r="19" spans="1:20" ht="16" thickBot="1">
      <c r="A19" s="48" t="s">
        <v>36</v>
      </c>
      <c r="B19" s="48"/>
      <c r="C19" s="48"/>
      <c r="D19" s="52"/>
      <c r="E19" s="48"/>
      <c r="F19" s="48"/>
      <c r="G19" s="48"/>
      <c r="H19" s="48"/>
      <c r="I19" s="48"/>
      <c r="L19" s="71" t="s">
        <v>81</v>
      </c>
    </row>
    <row r="20" spans="1:20">
      <c r="A20" s="48" t="s">
        <v>74</v>
      </c>
      <c r="B20" s="48">
        <v>66</v>
      </c>
      <c r="C20" s="48">
        <v>4</v>
      </c>
      <c r="D20" s="63">
        <v>70</v>
      </c>
      <c r="E20" s="48">
        <v>15</v>
      </c>
      <c r="F20" s="48">
        <v>23</v>
      </c>
      <c r="G20" s="66">
        <v>32</v>
      </c>
      <c r="H20" s="66">
        <v>0</v>
      </c>
      <c r="I20" s="48">
        <v>70</v>
      </c>
      <c r="L20" s="48" t="s">
        <v>75</v>
      </c>
      <c r="M20" s="48">
        <v>15</v>
      </c>
      <c r="N20" s="48">
        <v>2</v>
      </c>
      <c r="O20" s="63">
        <v>17</v>
      </c>
      <c r="P20" s="48">
        <v>12</v>
      </c>
      <c r="Q20" s="48">
        <v>3</v>
      </c>
      <c r="R20" s="66">
        <v>2</v>
      </c>
      <c r="S20" s="66">
        <v>0</v>
      </c>
    </row>
    <row r="21" spans="1:20">
      <c r="A21" s="48" t="s">
        <v>75</v>
      </c>
      <c r="B21" s="48">
        <v>15</v>
      </c>
      <c r="C21" s="48">
        <v>2</v>
      </c>
      <c r="D21" s="63">
        <v>17</v>
      </c>
      <c r="E21" s="48">
        <v>12</v>
      </c>
      <c r="F21" s="48">
        <v>3</v>
      </c>
      <c r="G21" s="66">
        <v>2</v>
      </c>
      <c r="H21" s="66">
        <v>0</v>
      </c>
      <c r="I21" s="48">
        <v>17</v>
      </c>
      <c r="L21" s="48" t="s">
        <v>50</v>
      </c>
      <c r="M21" s="48">
        <v>84</v>
      </c>
      <c r="N21" s="48">
        <v>8</v>
      </c>
      <c r="O21" s="63">
        <v>92</v>
      </c>
      <c r="P21" s="48">
        <v>15</v>
      </c>
      <c r="Q21" s="48">
        <v>50</v>
      </c>
      <c r="R21" s="66">
        <v>27</v>
      </c>
      <c r="S21" s="66">
        <v>0</v>
      </c>
    </row>
    <row r="22" spans="1:20">
      <c r="A22" s="48" t="s">
        <v>50</v>
      </c>
      <c r="B22" s="48">
        <v>84</v>
      </c>
      <c r="C22" s="48">
        <v>8</v>
      </c>
      <c r="D22" s="63">
        <v>92</v>
      </c>
      <c r="E22" s="48">
        <v>15</v>
      </c>
      <c r="F22" s="48">
        <v>50</v>
      </c>
      <c r="G22" s="66">
        <v>27</v>
      </c>
      <c r="H22" s="66">
        <v>0</v>
      </c>
      <c r="I22" s="48">
        <v>92</v>
      </c>
      <c r="L22" s="48" t="s">
        <v>78</v>
      </c>
      <c r="M22" s="48">
        <v>22</v>
      </c>
      <c r="N22" s="48">
        <v>1</v>
      </c>
      <c r="O22" s="63">
        <v>23</v>
      </c>
      <c r="P22" s="48">
        <v>4</v>
      </c>
      <c r="Q22" s="48">
        <v>15</v>
      </c>
      <c r="R22" s="66">
        <v>4</v>
      </c>
      <c r="S22" s="66">
        <v>0</v>
      </c>
    </row>
    <row r="23" spans="1:20" ht="16" thickBot="1">
      <c r="A23" s="48" t="s">
        <v>76</v>
      </c>
      <c r="B23" s="48">
        <v>590</v>
      </c>
      <c r="C23" s="48">
        <v>17</v>
      </c>
      <c r="D23" s="63">
        <v>607</v>
      </c>
      <c r="E23" s="48">
        <v>42</v>
      </c>
      <c r="F23" s="48">
        <v>412</v>
      </c>
      <c r="G23" s="66">
        <v>153</v>
      </c>
      <c r="H23" s="66">
        <v>0</v>
      </c>
      <c r="I23" s="48">
        <v>607</v>
      </c>
      <c r="O23">
        <f>SUM(O20:O22)</f>
        <v>132</v>
      </c>
      <c r="R23">
        <f>SUM(R20:R22)</f>
        <v>33</v>
      </c>
      <c r="S23">
        <f>SUM(S20:S22)</f>
        <v>0</v>
      </c>
    </row>
    <row r="24" spans="1:20" ht="16" thickBot="1">
      <c r="A24" s="48" t="s">
        <v>77</v>
      </c>
      <c r="B24" s="48">
        <v>63</v>
      </c>
      <c r="C24" s="48">
        <v>2</v>
      </c>
      <c r="D24" s="63">
        <v>65</v>
      </c>
      <c r="E24" s="48">
        <v>10</v>
      </c>
      <c r="F24" s="48">
        <v>20</v>
      </c>
      <c r="G24" s="66">
        <v>35</v>
      </c>
      <c r="H24" s="66">
        <v>0</v>
      </c>
      <c r="I24" s="48">
        <v>65</v>
      </c>
      <c r="L24" s="71" t="s">
        <v>80</v>
      </c>
    </row>
    <row r="25" spans="1:20">
      <c r="A25" s="48" t="s">
        <v>78</v>
      </c>
      <c r="B25" s="48">
        <v>22</v>
      </c>
      <c r="C25" s="48">
        <v>1</v>
      </c>
      <c r="D25" s="63">
        <v>23</v>
      </c>
      <c r="E25" s="48">
        <v>4</v>
      </c>
      <c r="F25" s="48">
        <v>15</v>
      </c>
      <c r="G25" s="66">
        <v>4</v>
      </c>
      <c r="H25" s="66">
        <v>0</v>
      </c>
      <c r="I25" s="48">
        <v>23</v>
      </c>
      <c r="L25" s="48" t="s">
        <v>74</v>
      </c>
      <c r="M25" s="48">
        <v>66</v>
      </c>
      <c r="N25" s="48">
        <v>4</v>
      </c>
      <c r="O25" s="63">
        <v>70</v>
      </c>
      <c r="P25" s="48">
        <v>15</v>
      </c>
      <c r="Q25" s="48">
        <v>23</v>
      </c>
      <c r="R25" s="66">
        <v>32</v>
      </c>
      <c r="S25" s="66">
        <v>0</v>
      </c>
    </row>
    <row r="26" spans="1:20">
      <c r="A26" s="48" t="s">
        <v>79</v>
      </c>
      <c r="B26" s="48">
        <v>197</v>
      </c>
      <c r="C26" s="48">
        <v>12</v>
      </c>
      <c r="D26" s="63">
        <v>209</v>
      </c>
      <c r="E26" s="48">
        <v>43</v>
      </c>
      <c r="F26" s="48">
        <v>92</v>
      </c>
      <c r="G26" s="66">
        <v>74</v>
      </c>
      <c r="H26" s="66">
        <v>0</v>
      </c>
      <c r="I26" s="48">
        <v>209</v>
      </c>
      <c r="L26" s="48" t="s">
        <v>76</v>
      </c>
      <c r="M26" s="48">
        <v>590</v>
      </c>
      <c r="N26" s="48">
        <v>17</v>
      </c>
      <c r="O26" s="63">
        <v>607</v>
      </c>
      <c r="P26" s="48">
        <v>42</v>
      </c>
      <c r="Q26" s="48">
        <v>412</v>
      </c>
      <c r="R26" s="66">
        <v>153</v>
      </c>
      <c r="S26" s="66">
        <v>0</v>
      </c>
    </row>
    <row r="27" spans="1:20">
      <c r="A27" s="51" t="s">
        <v>59</v>
      </c>
      <c r="B27" s="51">
        <v>396</v>
      </c>
      <c r="C27" s="51">
        <v>30</v>
      </c>
      <c r="D27" s="64">
        <v>426</v>
      </c>
      <c r="E27" s="51">
        <v>82</v>
      </c>
      <c r="F27" s="51">
        <v>140</v>
      </c>
      <c r="G27" s="68">
        <v>204</v>
      </c>
      <c r="H27" s="68">
        <v>0</v>
      </c>
      <c r="I27" s="51">
        <v>426</v>
      </c>
      <c r="L27" s="48" t="s">
        <v>77</v>
      </c>
      <c r="M27" s="48">
        <v>63</v>
      </c>
      <c r="N27" s="48">
        <v>2</v>
      </c>
      <c r="O27" s="63">
        <v>65</v>
      </c>
      <c r="P27" s="48">
        <v>10</v>
      </c>
      <c r="Q27" s="48">
        <v>20</v>
      </c>
      <c r="R27" s="66">
        <v>35</v>
      </c>
      <c r="S27" s="66">
        <v>0</v>
      </c>
    </row>
    <row r="28" spans="1:20">
      <c r="A28" s="48" t="s">
        <v>60</v>
      </c>
      <c r="B28" s="48">
        <v>843</v>
      </c>
      <c r="C28" s="48">
        <v>0</v>
      </c>
      <c r="D28" s="63">
        <v>843</v>
      </c>
      <c r="E28" s="48">
        <v>39</v>
      </c>
      <c r="F28" s="48">
        <v>73</v>
      </c>
      <c r="G28" s="66">
        <v>662</v>
      </c>
      <c r="H28" s="66">
        <v>69</v>
      </c>
      <c r="I28" s="48">
        <v>843</v>
      </c>
      <c r="L28" s="48" t="s">
        <v>79</v>
      </c>
      <c r="M28" s="48">
        <v>197</v>
      </c>
      <c r="N28" s="48">
        <v>12</v>
      </c>
      <c r="O28" s="63">
        <v>209</v>
      </c>
      <c r="P28" s="48">
        <v>43</v>
      </c>
      <c r="Q28" s="48">
        <v>92</v>
      </c>
      <c r="R28" s="66">
        <v>74</v>
      </c>
      <c r="S28" s="66">
        <v>0</v>
      </c>
    </row>
    <row r="29" spans="1:20">
      <c r="A29" s="48" t="s">
        <v>61</v>
      </c>
      <c r="B29" s="48">
        <v>234</v>
      </c>
      <c r="C29" s="48">
        <v>7</v>
      </c>
      <c r="D29" s="63">
        <v>241</v>
      </c>
      <c r="E29" s="48">
        <v>42</v>
      </c>
      <c r="F29" s="48">
        <v>56</v>
      </c>
      <c r="G29" s="66">
        <v>143</v>
      </c>
      <c r="H29" s="66">
        <v>0</v>
      </c>
      <c r="I29" s="48">
        <v>241</v>
      </c>
      <c r="O29">
        <f>SUM(O25:O28)</f>
        <v>951</v>
      </c>
      <c r="R29">
        <f>SUM(R25:R28)</f>
        <v>294</v>
      </c>
      <c r="S29">
        <f>SUM(S25:S28)</f>
        <v>0</v>
      </c>
    </row>
    <row r="30" spans="1:20" ht="16" thickBot="1">
      <c r="A30" s="50" t="s">
        <v>62</v>
      </c>
      <c r="B30" s="50">
        <v>2510</v>
      </c>
      <c r="C30" s="50">
        <v>83</v>
      </c>
      <c r="D30" s="65">
        <v>2593</v>
      </c>
      <c r="E30" s="50">
        <v>304</v>
      </c>
      <c r="F30" s="50">
        <v>884</v>
      </c>
      <c r="G30" s="67">
        <v>1336</v>
      </c>
      <c r="H30" s="67">
        <v>69</v>
      </c>
      <c r="I30" s="50">
        <v>2593</v>
      </c>
    </row>
    <row r="31" spans="1:20" ht="16" thickTop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B41F-60FB-9E41-951D-0E1D6CFBCFAC}">
  <dimension ref="B1:T32"/>
  <sheetViews>
    <sheetView zoomScale="80" zoomScaleNormal="80" workbookViewId="0">
      <selection activeCell="Q4" sqref="Q4:T4"/>
    </sheetView>
  </sheetViews>
  <sheetFormatPr baseColWidth="10" defaultRowHeight="15"/>
  <cols>
    <col min="1" max="1" width="4.5" style="1" customWidth="1"/>
    <col min="2" max="2" width="36.1640625" style="1" customWidth="1"/>
    <col min="3" max="14" width="10.83203125" style="1"/>
    <col min="15" max="15" width="29.6640625" style="1" customWidth="1"/>
    <col min="16" max="17" width="10.83203125" style="1"/>
    <col min="18" max="18" width="21" style="1" customWidth="1"/>
    <col min="19" max="19" width="19.5" style="1" customWidth="1"/>
    <col min="20" max="20" width="22.1640625" style="1" customWidth="1"/>
    <col min="21" max="16384" width="10.83203125" style="1"/>
  </cols>
  <sheetData>
    <row r="1" spans="2:20">
      <c r="B1" s="116" t="s">
        <v>186</v>
      </c>
    </row>
    <row r="2" spans="2:20">
      <c r="D2" s="237" t="s">
        <v>172</v>
      </c>
      <c r="E2" s="237"/>
      <c r="F2" s="237"/>
      <c r="G2" s="237"/>
      <c r="H2" s="238"/>
      <c r="I2" s="237" t="s">
        <v>173</v>
      </c>
      <c r="J2" s="237"/>
      <c r="K2" s="237"/>
      <c r="L2" s="237"/>
      <c r="M2" s="237"/>
      <c r="R2" s="237" t="s">
        <v>203</v>
      </c>
      <c r="S2" s="237"/>
      <c r="T2" s="237"/>
    </row>
    <row r="4" spans="2:20" ht="30" customHeight="1">
      <c r="B4" s="115" t="s">
        <v>142</v>
      </c>
      <c r="C4" s="112" t="s">
        <v>161</v>
      </c>
      <c r="D4" s="112" t="s">
        <v>162</v>
      </c>
      <c r="E4" s="112" t="s">
        <v>163</v>
      </c>
      <c r="F4" s="112" t="s">
        <v>164</v>
      </c>
      <c r="G4" s="112" t="s">
        <v>165</v>
      </c>
      <c r="H4" s="112" t="s">
        <v>166</v>
      </c>
      <c r="I4" s="112" t="s">
        <v>167</v>
      </c>
      <c r="J4" s="112" t="s">
        <v>168</v>
      </c>
      <c r="K4" s="112" t="s">
        <v>169</v>
      </c>
      <c r="L4" s="112" t="s">
        <v>170</v>
      </c>
      <c r="M4" s="112" t="s">
        <v>171</v>
      </c>
      <c r="O4" s="119" t="s">
        <v>191</v>
      </c>
      <c r="P4" s="119" t="s">
        <v>192</v>
      </c>
      <c r="Q4" s="119" t="s">
        <v>204</v>
      </c>
      <c r="R4" s="119" t="s">
        <v>193</v>
      </c>
      <c r="S4" s="119" t="s">
        <v>194</v>
      </c>
      <c r="T4" s="119" t="s">
        <v>195</v>
      </c>
    </row>
    <row r="5" spans="2:20">
      <c r="B5" s="111" t="s">
        <v>151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O5" s="111" t="s">
        <v>196</v>
      </c>
      <c r="P5" s="111"/>
      <c r="Q5" s="111"/>
      <c r="R5" s="111"/>
      <c r="S5" s="111"/>
      <c r="T5" s="111"/>
    </row>
    <row r="6" spans="2:20">
      <c r="B6" s="111" t="s">
        <v>152</v>
      </c>
      <c r="C6" s="111">
        <v>7</v>
      </c>
      <c r="D6" s="111">
        <v>3</v>
      </c>
      <c r="E6" s="111">
        <v>3.8</v>
      </c>
      <c r="F6" s="111">
        <v>2.8</v>
      </c>
      <c r="G6" s="111">
        <v>2.8</v>
      </c>
      <c r="H6" s="111">
        <v>2.7</v>
      </c>
      <c r="I6" s="111">
        <v>1.7</v>
      </c>
      <c r="J6" s="111">
        <v>1.3</v>
      </c>
      <c r="K6" s="111">
        <v>2.7</v>
      </c>
      <c r="L6" s="111">
        <v>3.1</v>
      </c>
      <c r="M6" s="111">
        <v>3.3</v>
      </c>
      <c r="O6" s="111" t="s">
        <v>60</v>
      </c>
      <c r="P6" s="111">
        <v>176</v>
      </c>
      <c r="Q6" s="111">
        <v>150</v>
      </c>
      <c r="R6" s="111">
        <v>204</v>
      </c>
      <c r="S6" s="111">
        <v>427</v>
      </c>
      <c r="T6" s="111">
        <v>135</v>
      </c>
    </row>
    <row r="7" spans="2:20">
      <c r="B7" s="111" t="s">
        <v>153</v>
      </c>
      <c r="C7" s="111">
        <v>3.5</v>
      </c>
      <c r="D7" s="111">
        <v>2.5</v>
      </c>
      <c r="E7" s="111">
        <v>2</v>
      </c>
      <c r="F7" s="111">
        <v>2</v>
      </c>
      <c r="G7" s="111">
        <v>2</v>
      </c>
      <c r="H7" s="111">
        <v>2</v>
      </c>
      <c r="I7" s="111">
        <v>-6</v>
      </c>
      <c r="J7" s="111">
        <v>-2.5</v>
      </c>
      <c r="K7" s="111">
        <v>4</v>
      </c>
      <c r="L7" s="111">
        <v>2.5</v>
      </c>
      <c r="M7" s="111">
        <v>2.5</v>
      </c>
      <c r="O7" s="111" t="s">
        <v>61</v>
      </c>
      <c r="P7" s="111">
        <v>131</v>
      </c>
      <c r="Q7" s="111">
        <v>122</v>
      </c>
      <c r="R7" s="111">
        <v>139</v>
      </c>
      <c r="S7" s="111">
        <v>168</v>
      </c>
      <c r="T7" s="111">
        <v>117</v>
      </c>
    </row>
    <row r="8" spans="2:20">
      <c r="B8" s="111" t="s">
        <v>154</v>
      </c>
      <c r="C8" s="111">
        <v>4.8</v>
      </c>
      <c r="D8" s="111">
        <v>5</v>
      </c>
      <c r="E8" s="111">
        <v>5.2</v>
      </c>
      <c r="F8" s="111">
        <v>5.0999999999999996</v>
      </c>
      <c r="G8" s="111">
        <v>5</v>
      </c>
      <c r="H8" s="111">
        <v>4.9000000000000004</v>
      </c>
      <c r="I8" s="111">
        <v>5.9</v>
      </c>
      <c r="J8" s="111">
        <v>8</v>
      </c>
      <c r="K8" s="111">
        <v>10</v>
      </c>
      <c r="L8" s="111">
        <v>9.1</v>
      </c>
      <c r="M8" s="111">
        <v>8.4</v>
      </c>
      <c r="O8" s="111" t="s">
        <v>59</v>
      </c>
      <c r="P8" s="111">
        <v>432</v>
      </c>
      <c r="Q8" s="111">
        <v>395</v>
      </c>
      <c r="R8" s="111">
        <v>487</v>
      </c>
      <c r="S8" s="111">
        <v>586</v>
      </c>
      <c r="T8" s="111">
        <v>357</v>
      </c>
    </row>
    <row r="9" spans="2:20" ht="16" thickBot="1">
      <c r="B9" s="111" t="s">
        <v>155</v>
      </c>
      <c r="C9" s="111">
        <v>1</v>
      </c>
      <c r="D9" s="111">
        <v>5</v>
      </c>
      <c r="E9" s="111">
        <v>3</v>
      </c>
      <c r="F9" s="111">
        <v>3</v>
      </c>
      <c r="G9" s="111">
        <v>3</v>
      </c>
      <c r="H9" s="111">
        <v>3</v>
      </c>
      <c r="I9" s="111">
        <v>-10</v>
      </c>
      <c r="J9" s="111">
        <v>-3.5</v>
      </c>
      <c r="K9" s="111">
        <v>3</v>
      </c>
      <c r="L9" s="111">
        <v>3</v>
      </c>
      <c r="M9" s="111">
        <v>2</v>
      </c>
      <c r="O9" s="121" t="s">
        <v>197</v>
      </c>
      <c r="P9" s="121">
        <v>404</v>
      </c>
      <c r="Q9" s="121">
        <v>339</v>
      </c>
      <c r="R9" s="121">
        <v>480</v>
      </c>
      <c r="S9" s="121">
        <v>700</v>
      </c>
      <c r="T9" s="121">
        <v>313</v>
      </c>
    </row>
    <row r="10" spans="2:20" ht="17" thickTop="1" thickBot="1">
      <c r="B10" s="111" t="s">
        <v>156</v>
      </c>
      <c r="C10" s="111">
        <v>2.2000000000000002</v>
      </c>
      <c r="D10" s="111">
        <v>1.8</v>
      </c>
      <c r="E10" s="111">
        <v>1.6</v>
      </c>
      <c r="F10" s="111">
        <v>1.9</v>
      </c>
      <c r="G10" s="111">
        <v>2</v>
      </c>
      <c r="H10" s="111">
        <v>1.9</v>
      </c>
      <c r="I10" s="111">
        <v>0.6</v>
      </c>
      <c r="J10" s="111">
        <v>-1</v>
      </c>
      <c r="K10" s="111">
        <v>0.6</v>
      </c>
      <c r="L10" s="111">
        <v>2.5</v>
      </c>
      <c r="M10" s="111">
        <v>2</v>
      </c>
      <c r="O10" s="122" t="s">
        <v>198</v>
      </c>
      <c r="P10" s="122">
        <v>1143</v>
      </c>
      <c r="Q10" s="122">
        <v>1006</v>
      </c>
      <c r="R10" s="122">
        <v>1310</v>
      </c>
      <c r="S10" s="122">
        <v>1881</v>
      </c>
      <c r="T10" s="122">
        <v>922</v>
      </c>
    </row>
    <row r="11" spans="2:20" ht="16" thickTop="1">
      <c r="B11" s="111" t="s">
        <v>157</v>
      </c>
      <c r="C11" s="111">
        <v>5.7</v>
      </c>
      <c r="D11" s="111">
        <v>4.5999999999999996</v>
      </c>
      <c r="E11" s="111">
        <v>4</v>
      </c>
      <c r="F11" s="111">
        <v>5.5</v>
      </c>
      <c r="G11" s="111">
        <v>5.5</v>
      </c>
      <c r="H11" s="111">
        <v>5.5</v>
      </c>
      <c r="I11" s="111">
        <v>3.8</v>
      </c>
      <c r="J11" s="111">
        <v>1.7</v>
      </c>
      <c r="K11" s="111">
        <v>2.7</v>
      </c>
      <c r="L11" s="111">
        <v>4.7</v>
      </c>
      <c r="M11" s="111">
        <v>5</v>
      </c>
      <c r="O11" s="120" t="s">
        <v>199</v>
      </c>
      <c r="P11" s="120">
        <v>38</v>
      </c>
      <c r="Q11" s="120">
        <v>34</v>
      </c>
      <c r="R11" s="120">
        <v>41</v>
      </c>
      <c r="S11" s="120">
        <v>53</v>
      </c>
      <c r="T11" s="120">
        <v>32</v>
      </c>
    </row>
    <row r="12" spans="2:20" ht="16" thickBot="1">
      <c r="B12" s="111" t="s">
        <v>158</v>
      </c>
      <c r="C12" s="111">
        <v>1.7</v>
      </c>
      <c r="D12" s="111">
        <v>1.9</v>
      </c>
      <c r="E12" s="111">
        <v>2.1</v>
      </c>
      <c r="F12" s="111">
        <v>2</v>
      </c>
      <c r="G12" s="111">
        <v>2</v>
      </c>
      <c r="H12" s="111">
        <v>2</v>
      </c>
      <c r="I12" s="111">
        <v>1.8</v>
      </c>
      <c r="J12" s="111">
        <v>1.7</v>
      </c>
      <c r="K12" s="111">
        <v>2</v>
      </c>
      <c r="L12" s="111">
        <v>2</v>
      </c>
      <c r="M12" s="111">
        <v>2</v>
      </c>
      <c r="O12" s="121" t="s">
        <v>200</v>
      </c>
      <c r="P12" s="121">
        <v>10</v>
      </c>
      <c r="Q12" s="121">
        <v>9</v>
      </c>
      <c r="R12" s="121">
        <v>10</v>
      </c>
      <c r="S12" s="121">
        <v>11</v>
      </c>
      <c r="T12" s="121">
        <v>8</v>
      </c>
    </row>
    <row r="13" spans="2:20" ht="16" thickTop="1"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O13" s="120" t="s">
        <v>201</v>
      </c>
      <c r="P13" s="120">
        <v>1191</v>
      </c>
      <c r="Q13" s="120">
        <v>1049</v>
      </c>
      <c r="R13" s="120">
        <v>1361</v>
      </c>
      <c r="S13" s="120">
        <v>1945</v>
      </c>
      <c r="T13" s="120">
        <v>962</v>
      </c>
    </row>
    <row r="14" spans="2:20"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O14" s="111" t="s">
        <v>202</v>
      </c>
      <c r="P14" s="111">
        <v>94</v>
      </c>
      <c r="Q14" s="111">
        <v>83</v>
      </c>
      <c r="R14" s="111">
        <v>109</v>
      </c>
      <c r="S14" s="111">
        <v>114</v>
      </c>
      <c r="T14" s="111">
        <v>78</v>
      </c>
    </row>
    <row r="15" spans="2:20">
      <c r="B15" s="114"/>
      <c r="C15" s="239" t="s">
        <v>184</v>
      </c>
      <c r="D15" s="239"/>
      <c r="E15" s="239"/>
      <c r="F15" s="239"/>
      <c r="G15" s="240"/>
      <c r="H15" s="241" t="s">
        <v>185</v>
      </c>
      <c r="I15" s="239"/>
      <c r="J15" s="239"/>
      <c r="K15" s="239"/>
      <c r="L15" s="239"/>
      <c r="M15" s="114"/>
    </row>
    <row r="16" spans="2:20"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</row>
    <row r="17" spans="2:20" ht="29" customHeight="1">
      <c r="B17" s="115" t="s">
        <v>142</v>
      </c>
      <c r="C17" s="112" t="s">
        <v>174</v>
      </c>
      <c r="D17" s="112" t="s">
        <v>175</v>
      </c>
      <c r="E17" s="112" t="s">
        <v>176</v>
      </c>
      <c r="F17" s="112" t="s">
        <v>177</v>
      </c>
      <c r="G17" s="112" t="s">
        <v>178</v>
      </c>
      <c r="H17" s="112" t="s">
        <v>179</v>
      </c>
      <c r="I17" s="112" t="s">
        <v>180</v>
      </c>
      <c r="J17" s="112" t="s">
        <v>181</v>
      </c>
      <c r="K17" s="112" t="s">
        <v>182</v>
      </c>
      <c r="L17" s="112" t="s">
        <v>183</v>
      </c>
      <c r="M17" s="114"/>
      <c r="O17" t="s">
        <v>206</v>
      </c>
    </row>
    <row r="18" spans="2:20">
      <c r="B18" s="111" t="s">
        <v>151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4"/>
    </row>
    <row r="19" spans="2:20">
      <c r="B19" s="111" t="s">
        <v>152</v>
      </c>
      <c r="C19" s="111">
        <v>-0.5</v>
      </c>
      <c r="D19" s="111">
        <v>-4.3</v>
      </c>
      <c r="E19" s="111">
        <v>2.4</v>
      </c>
      <c r="F19" s="111">
        <v>3.3</v>
      </c>
      <c r="G19" s="111">
        <v>3.8</v>
      </c>
      <c r="H19" s="111">
        <v>5.9</v>
      </c>
      <c r="I19" s="111">
        <v>5.4</v>
      </c>
      <c r="J19" s="111">
        <v>3.4</v>
      </c>
      <c r="K19" s="111">
        <v>1.9</v>
      </c>
      <c r="L19" s="111">
        <v>2.4</v>
      </c>
      <c r="Q19" s="123"/>
      <c r="R19" s="123"/>
      <c r="S19" s="123"/>
      <c r="T19" s="123"/>
    </row>
    <row r="20" spans="2:20">
      <c r="B20" s="111" t="s">
        <v>153</v>
      </c>
      <c r="C20" s="111">
        <v>-10</v>
      </c>
      <c r="D20" s="111">
        <v>-12.5</v>
      </c>
      <c r="E20" s="111">
        <v>-0.5</v>
      </c>
      <c r="F20" s="111">
        <v>1</v>
      </c>
      <c r="G20" s="111">
        <v>1.5</v>
      </c>
      <c r="H20" s="111">
        <v>6.5</v>
      </c>
      <c r="I20" s="111">
        <v>5</v>
      </c>
      <c r="J20" s="111">
        <v>4</v>
      </c>
      <c r="K20" s="111">
        <v>3</v>
      </c>
      <c r="L20" s="111">
        <v>2.5</v>
      </c>
      <c r="Q20" s="123"/>
      <c r="R20" s="123"/>
      <c r="S20" s="123"/>
      <c r="T20" s="123"/>
    </row>
    <row r="21" spans="2:20">
      <c r="B21" s="111" t="s">
        <v>154</v>
      </c>
      <c r="C21" s="111">
        <v>6.7</v>
      </c>
      <c r="D21" s="111">
        <v>9.6999999999999993</v>
      </c>
      <c r="E21" s="111">
        <v>12.1</v>
      </c>
      <c r="F21" s="111">
        <v>12.5</v>
      </c>
      <c r="G21" s="111">
        <v>12.6</v>
      </c>
      <c r="H21" s="111">
        <v>4.5</v>
      </c>
      <c r="I21" s="111">
        <v>4.4000000000000004</v>
      </c>
      <c r="J21" s="111">
        <v>4.3</v>
      </c>
      <c r="K21" s="111">
        <v>4.3</v>
      </c>
      <c r="L21" s="111">
        <v>4.3</v>
      </c>
      <c r="Q21" s="123"/>
      <c r="R21" s="123"/>
      <c r="S21" s="123"/>
      <c r="T21" s="123"/>
    </row>
    <row r="22" spans="2:20">
      <c r="B22" s="111" t="s">
        <v>155</v>
      </c>
      <c r="C22" s="111">
        <v>-11.5</v>
      </c>
      <c r="D22" s="111">
        <v>-13</v>
      </c>
      <c r="E22" s="111">
        <v>-1</v>
      </c>
      <c r="F22" s="111">
        <v>2.5</v>
      </c>
      <c r="G22" s="111">
        <v>3.5</v>
      </c>
      <c r="H22" s="111">
        <v>7</v>
      </c>
      <c r="I22" s="111">
        <v>10</v>
      </c>
      <c r="J22" s="111">
        <v>5</v>
      </c>
      <c r="K22" s="111">
        <v>4</v>
      </c>
      <c r="L22" s="111">
        <v>3</v>
      </c>
      <c r="Q22" s="123"/>
      <c r="R22" s="123"/>
      <c r="S22" s="123"/>
      <c r="T22" s="123"/>
    </row>
    <row r="23" spans="2:20">
      <c r="B23" s="111" t="s">
        <v>156</v>
      </c>
      <c r="C23" s="111">
        <v>-1.1000000000000001</v>
      </c>
      <c r="D23" s="111">
        <v>-2.8</v>
      </c>
      <c r="E23" s="111">
        <v>-1.6</v>
      </c>
      <c r="F23" s="111">
        <v>1.3</v>
      </c>
      <c r="G23" s="111">
        <v>1.8</v>
      </c>
      <c r="H23" s="111">
        <v>2.7</v>
      </c>
      <c r="I23" s="111">
        <v>2.5</v>
      </c>
      <c r="J23" s="111">
        <v>2.1</v>
      </c>
      <c r="K23" s="111">
        <v>1.9</v>
      </c>
      <c r="L23" s="111">
        <v>1.8</v>
      </c>
      <c r="Q23" s="123"/>
      <c r="R23" s="123"/>
      <c r="S23" s="123"/>
      <c r="T23" s="123"/>
    </row>
    <row r="24" spans="2:20">
      <c r="B24" s="111" t="s">
        <v>157</v>
      </c>
      <c r="C24" s="111">
        <v>2.2999999999999998</v>
      </c>
      <c r="D24" s="111">
        <v>0.1</v>
      </c>
      <c r="E24" s="111">
        <v>1.4</v>
      </c>
      <c r="F24" s="111">
        <v>4.3</v>
      </c>
      <c r="G24" s="111">
        <v>5</v>
      </c>
      <c r="H24" s="111">
        <v>7.1</v>
      </c>
      <c r="I24" s="111">
        <v>7.6</v>
      </c>
      <c r="J24" s="111">
        <v>6.5</v>
      </c>
      <c r="K24" s="111">
        <v>5.0999999999999996</v>
      </c>
      <c r="L24" s="111">
        <v>5</v>
      </c>
    </row>
    <row r="25" spans="2:20">
      <c r="B25" s="111" t="s">
        <v>158</v>
      </c>
      <c r="C25" s="111">
        <v>1.8</v>
      </c>
      <c r="D25" s="111">
        <v>1.2</v>
      </c>
      <c r="E25" s="111">
        <v>1.6</v>
      </c>
      <c r="F25" s="111">
        <v>2</v>
      </c>
      <c r="G25" s="111">
        <v>2</v>
      </c>
      <c r="H25" s="111">
        <v>3.4</v>
      </c>
      <c r="I25" s="111">
        <v>4.5999999999999996</v>
      </c>
      <c r="J25" s="111">
        <v>3</v>
      </c>
      <c r="K25" s="111">
        <v>2.5</v>
      </c>
      <c r="L25" s="111">
        <v>2</v>
      </c>
    </row>
    <row r="26" spans="2:20"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</row>
    <row r="27" spans="2:20"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</row>
    <row r="28" spans="2:20">
      <c r="B28" s="115" t="s">
        <v>187</v>
      </c>
      <c r="C28" s="118">
        <v>45992</v>
      </c>
      <c r="D28" s="118">
        <v>45627</v>
      </c>
      <c r="E28" s="114"/>
      <c r="F28" s="114"/>
      <c r="G28" s="114"/>
      <c r="H28" s="114"/>
      <c r="I28" s="114"/>
      <c r="J28" s="114"/>
      <c r="K28" s="114"/>
      <c r="L28" s="114"/>
    </row>
    <row r="29" spans="2:20">
      <c r="B29" s="111" t="s">
        <v>172</v>
      </c>
      <c r="C29" s="117">
        <v>0.5</v>
      </c>
      <c r="D29" s="117">
        <v>0.5</v>
      </c>
      <c r="E29" s="114"/>
      <c r="F29" s="114"/>
      <c r="G29" s="114"/>
      <c r="H29" s="114"/>
      <c r="I29" s="114"/>
      <c r="J29" s="114"/>
      <c r="K29" s="114"/>
      <c r="L29" s="114"/>
    </row>
    <row r="30" spans="2:20">
      <c r="B30" s="111" t="s">
        <v>188</v>
      </c>
      <c r="C30" s="117">
        <v>0.4</v>
      </c>
      <c r="D30" s="117">
        <v>0.4</v>
      </c>
      <c r="E30" s="114"/>
      <c r="F30" s="114"/>
      <c r="G30" s="114"/>
      <c r="H30" s="114"/>
      <c r="I30" s="114"/>
      <c r="J30" s="114"/>
      <c r="K30" s="114"/>
      <c r="L30" s="114"/>
    </row>
    <row r="31" spans="2:20">
      <c r="B31" s="111" t="s">
        <v>189</v>
      </c>
      <c r="C31" s="117">
        <v>0.05</v>
      </c>
      <c r="D31" s="117">
        <v>0.05</v>
      </c>
      <c r="E31" s="114"/>
      <c r="F31" s="114"/>
      <c r="G31" s="114"/>
      <c r="H31" s="114"/>
      <c r="I31" s="114"/>
      <c r="J31" s="114"/>
      <c r="K31" s="114"/>
      <c r="L31" s="114"/>
    </row>
    <row r="32" spans="2:20">
      <c r="B32" s="111" t="s">
        <v>190</v>
      </c>
      <c r="C32" s="117">
        <v>0.05</v>
      </c>
      <c r="D32" s="117">
        <v>0.05</v>
      </c>
    </row>
  </sheetData>
  <mergeCells count="5">
    <mergeCell ref="D2:H2"/>
    <mergeCell ref="I2:M2"/>
    <mergeCell ref="C15:G15"/>
    <mergeCell ref="H15:L15"/>
    <mergeCell ref="R2:T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573B-E80B-3D47-8BFF-5F28AF3F7B50}">
  <dimension ref="B1:J53"/>
  <sheetViews>
    <sheetView workbookViewId="0">
      <selection activeCell="I29" sqref="I29"/>
    </sheetView>
  </sheetViews>
  <sheetFormatPr baseColWidth="10" defaultColWidth="4.33203125" defaultRowHeight="15"/>
  <cols>
    <col min="1" max="1" width="4.33203125" style="1"/>
    <col min="2" max="2" width="34.33203125" style="1" customWidth="1"/>
    <col min="3" max="10" width="12.83203125" style="1" customWidth="1"/>
    <col min="11" max="16384" width="4.33203125" style="1"/>
  </cols>
  <sheetData>
    <row r="1" spans="2:10">
      <c r="B1" s="116" t="s">
        <v>186</v>
      </c>
    </row>
    <row r="2" spans="2:10" ht="27" customHeight="1">
      <c r="C2" s="242" t="s">
        <v>159</v>
      </c>
      <c r="D2" s="243"/>
      <c r="E2" s="243"/>
      <c r="F2" s="243"/>
      <c r="G2" s="244" t="s">
        <v>160</v>
      </c>
      <c r="H2" s="245"/>
      <c r="I2" s="245"/>
      <c r="J2" s="245"/>
    </row>
    <row r="5" spans="2:10" ht="29">
      <c r="B5" s="111" t="s">
        <v>142</v>
      </c>
      <c r="C5" s="112" t="s">
        <v>143</v>
      </c>
      <c r="D5" s="112" t="s">
        <v>144</v>
      </c>
      <c r="E5" s="112" t="s">
        <v>145</v>
      </c>
      <c r="F5" s="112" t="s">
        <v>146</v>
      </c>
      <c r="G5" s="113" t="s">
        <v>147</v>
      </c>
      <c r="H5" s="113" t="s">
        <v>148</v>
      </c>
      <c r="I5" s="113" t="s">
        <v>149</v>
      </c>
      <c r="J5" s="113" t="s">
        <v>150</v>
      </c>
    </row>
    <row r="6" spans="2:10">
      <c r="B6" s="111" t="s">
        <v>151</v>
      </c>
      <c r="C6" s="111"/>
      <c r="D6" s="111"/>
      <c r="E6" s="111"/>
      <c r="F6" s="111"/>
      <c r="G6" s="111"/>
      <c r="H6" s="111"/>
      <c r="I6" s="111"/>
      <c r="J6" s="111"/>
    </row>
    <row r="7" spans="2:10">
      <c r="B7" s="111" t="s">
        <v>152</v>
      </c>
      <c r="C7" s="111">
        <v>3</v>
      </c>
      <c r="D7" s="111">
        <v>2.4</v>
      </c>
      <c r="E7" s="111">
        <v>0.9</v>
      </c>
      <c r="F7" s="111">
        <v>3.8</v>
      </c>
      <c r="G7" s="111">
        <v>3</v>
      </c>
      <c r="H7" s="111">
        <v>1.8</v>
      </c>
      <c r="I7" s="111">
        <v>0.7</v>
      </c>
      <c r="J7" s="111">
        <v>3.8</v>
      </c>
    </row>
    <row r="8" spans="2:10">
      <c r="B8" s="111" t="s">
        <v>153</v>
      </c>
      <c r="C8" s="111">
        <v>2.1</v>
      </c>
      <c r="D8" s="111">
        <v>0.1</v>
      </c>
      <c r="E8" s="111">
        <v>-4.0999999999999996</v>
      </c>
      <c r="F8" s="111">
        <v>4.2</v>
      </c>
      <c r="G8" s="111">
        <v>2.5</v>
      </c>
      <c r="H8" s="111">
        <v>-0.1</v>
      </c>
      <c r="I8" s="111">
        <v>-4.7</v>
      </c>
      <c r="J8" s="111">
        <v>4.2</v>
      </c>
    </row>
    <row r="9" spans="2:10">
      <c r="B9" s="111" t="s">
        <v>154</v>
      </c>
      <c r="C9" s="111">
        <v>5</v>
      </c>
      <c r="D9" s="111">
        <v>7.3</v>
      </c>
      <c r="E9" s="111">
        <v>8.6999999999999993</v>
      </c>
      <c r="F9" s="111">
        <v>4.4000000000000004</v>
      </c>
      <c r="G9" s="111">
        <v>4.5</v>
      </c>
      <c r="H9" s="111">
        <v>7.4</v>
      </c>
      <c r="I9" s="111">
        <v>10.1</v>
      </c>
      <c r="J9" s="111">
        <v>3.9</v>
      </c>
    </row>
    <row r="10" spans="2:10">
      <c r="B10" s="111" t="s">
        <v>155</v>
      </c>
      <c r="C10" s="111">
        <v>3.4</v>
      </c>
      <c r="D10" s="111">
        <v>-1.1000000000000001</v>
      </c>
      <c r="E10" s="111">
        <v>-3.9</v>
      </c>
      <c r="F10" s="111">
        <v>5.8</v>
      </c>
      <c r="G10" s="111">
        <v>3.4</v>
      </c>
      <c r="H10" s="111">
        <v>-1.2</v>
      </c>
      <c r="I10" s="111">
        <v>-5.2</v>
      </c>
      <c r="J10" s="111">
        <v>5.8</v>
      </c>
    </row>
    <row r="11" spans="2:10">
      <c r="B11" s="111" t="s">
        <v>156</v>
      </c>
      <c r="C11" s="111">
        <v>1.8</v>
      </c>
      <c r="D11" s="111">
        <v>0.9</v>
      </c>
      <c r="E11" s="111">
        <v>-0.5</v>
      </c>
      <c r="F11" s="111">
        <v>2.2000000000000002</v>
      </c>
      <c r="G11" s="111">
        <v>1.5</v>
      </c>
      <c r="H11" s="111">
        <v>1</v>
      </c>
      <c r="I11" s="111">
        <v>-0.6</v>
      </c>
      <c r="J11" s="111">
        <v>1.9</v>
      </c>
    </row>
    <row r="12" spans="2:10">
      <c r="B12" s="111" t="s">
        <v>157</v>
      </c>
      <c r="C12" s="111">
        <v>5</v>
      </c>
      <c r="D12" s="111">
        <v>3.6</v>
      </c>
      <c r="E12" s="111">
        <v>2.6</v>
      </c>
      <c r="F12" s="111">
        <v>6.3</v>
      </c>
      <c r="G12" s="111">
        <v>4.4000000000000004</v>
      </c>
      <c r="H12" s="111">
        <v>4</v>
      </c>
      <c r="I12" s="111">
        <v>3</v>
      </c>
      <c r="J12" s="111">
        <v>6.5</v>
      </c>
    </row>
    <row r="13" spans="2:10">
      <c r="B13" s="111" t="s">
        <v>158</v>
      </c>
      <c r="C13" s="111">
        <v>2</v>
      </c>
      <c r="D13" s="111">
        <v>1.9</v>
      </c>
      <c r="E13" s="111">
        <v>1.7</v>
      </c>
      <c r="F13" s="111">
        <v>3.1</v>
      </c>
      <c r="G13" s="111">
        <v>2</v>
      </c>
      <c r="H13" s="111">
        <v>2.9</v>
      </c>
      <c r="I13" s="111">
        <v>1.9</v>
      </c>
      <c r="J13" s="111">
        <v>3.1</v>
      </c>
    </row>
    <row r="14" spans="2:10">
      <c r="B14" s="114"/>
      <c r="C14" s="114"/>
      <c r="D14" s="114"/>
      <c r="E14" s="114"/>
      <c r="F14" s="114"/>
      <c r="G14" s="114"/>
      <c r="H14" s="114"/>
      <c r="I14" s="114"/>
      <c r="J14" s="114"/>
    </row>
    <row r="15" spans="2:10">
      <c r="B15" s="164" t="s">
        <v>244</v>
      </c>
      <c r="C15" s="114"/>
      <c r="D15" s="114"/>
      <c r="E15" s="114"/>
      <c r="F15" s="114"/>
      <c r="G15" s="114"/>
      <c r="H15" s="114"/>
      <c r="I15" s="114"/>
      <c r="J15" s="114"/>
    </row>
    <row r="16" spans="2:10">
      <c r="B16" s="164" t="s">
        <v>245</v>
      </c>
      <c r="C16" s="114"/>
      <c r="D16" s="114"/>
      <c r="E16" s="114"/>
      <c r="F16" s="114"/>
      <c r="G16" s="114"/>
      <c r="H16" s="114"/>
      <c r="I16" s="114"/>
      <c r="J16" s="114"/>
    </row>
    <row r="17" spans="2:10">
      <c r="B17" s="111" t="s">
        <v>233</v>
      </c>
      <c r="C17" s="111" t="s">
        <v>234</v>
      </c>
      <c r="D17" s="111" t="s">
        <v>235</v>
      </c>
      <c r="E17" s="114"/>
      <c r="F17" s="114"/>
      <c r="G17" s="114"/>
      <c r="H17" s="114"/>
      <c r="I17" s="114"/>
      <c r="J17" s="114"/>
    </row>
    <row r="18" spans="2:10">
      <c r="B18" s="111" t="s">
        <v>236</v>
      </c>
      <c r="C18" s="111">
        <v>2139</v>
      </c>
      <c r="D18" s="111">
        <v>2351</v>
      </c>
      <c r="E18" s="114"/>
      <c r="F18" s="114"/>
      <c r="G18" s="114"/>
      <c r="H18" s="114"/>
      <c r="I18" s="114"/>
      <c r="J18" s="114"/>
    </row>
    <row r="19" spans="2:10">
      <c r="B19" s="111" t="s">
        <v>237</v>
      </c>
      <c r="C19" s="111">
        <v>-85</v>
      </c>
      <c r="D19" s="111">
        <v>-80</v>
      </c>
      <c r="E19" s="114"/>
      <c r="F19" s="114"/>
      <c r="G19" s="114"/>
      <c r="H19" s="204"/>
      <c r="I19" s="114"/>
      <c r="J19" s="114"/>
    </row>
    <row r="20" spans="2:10">
      <c r="B20" s="111" t="s">
        <v>238</v>
      </c>
      <c r="C20" s="111">
        <v>2054</v>
      </c>
      <c r="D20" s="111">
        <v>2271</v>
      </c>
      <c r="G20" s="114"/>
      <c r="H20" s="204"/>
    </row>
    <row r="21" spans="2:10">
      <c r="B21" s="111" t="s">
        <v>239</v>
      </c>
      <c r="C21" s="111">
        <v>13792</v>
      </c>
      <c r="D21" s="111">
        <v>14078</v>
      </c>
      <c r="G21" s="114"/>
      <c r="H21" s="204"/>
    </row>
    <row r="22" spans="2:10">
      <c r="B22" s="111" t="s">
        <v>240</v>
      </c>
      <c r="C22" s="151">
        <v>0.14899999999999999</v>
      </c>
      <c r="D22" s="151">
        <v>0.161</v>
      </c>
      <c r="G22" s="114"/>
      <c r="H22" s="204"/>
    </row>
    <row r="23" spans="2:10">
      <c r="B23" s="111"/>
      <c r="C23" s="111"/>
      <c r="D23" s="111"/>
      <c r="G23" s="114"/>
      <c r="H23" s="204"/>
    </row>
    <row r="24" spans="2:10">
      <c r="B24" s="111" t="s">
        <v>241</v>
      </c>
      <c r="C24" s="111">
        <v>58693</v>
      </c>
      <c r="D24" s="111">
        <v>60747</v>
      </c>
      <c r="G24" s="114"/>
      <c r="H24" s="204"/>
    </row>
    <row r="25" spans="2:10">
      <c r="B25" s="111" t="s">
        <v>242</v>
      </c>
      <c r="C25" s="111">
        <v>8217</v>
      </c>
      <c r="D25" s="111">
        <v>8505</v>
      </c>
      <c r="G25" s="114"/>
      <c r="H25" s="204"/>
    </row>
    <row r="26" spans="2:10">
      <c r="B26" s="111" t="s">
        <v>243</v>
      </c>
      <c r="C26" s="151">
        <v>0.25</v>
      </c>
      <c r="D26" s="151">
        <v>0.26700000000000002</v>
      </c>
      <c r="G26" s="114"/>
      <c r="H26" s="204"/>
    </row>
    <row r="27" spans="2:10">
      <c r="B27" s="84"/>
      <c r="C27" s="84"/>
      <c r="D27" s="84"/>
      <c r="G27" s="114"/>
      <c r="H27" s="204"/>
    </row>
    <row r="28" spans="2:10">
      <c r="B28" s="84"/>
      <c r="C28" s="84"/>
      <c r="D28" s="84"/>
    </row>
    <row r="29" spans="2:10">
      <c r="B29" s="84"/>
      <c r="C29" s="84"/>
      <c r="D29" s="84"/>
    </row>
    <row r="30" spans="2:10">
      <c r="B30" s="84" t="s">
        <v>246</v>
      </c>
      <c r="C30" s="85">
        <v>0.16200000000000001</v>
      </c>
      <c r="D30" s="85">
        <v>0.151</v>
      </c>
    </row>
    <row r="33" spans="2:3">
      <c r="B33" s="111" t="s">
        <v>251</v>
      </c>
      <c r="C33" s="111" t="s">
        <v>252</v>
      </c>
    </row>
    <row r="34" spans="2:3">
      <c r="B34" s="111" t="s">
        <v>253</v>
      </c>
      <c r="C34" s="111"/>
    </row>
    <row r="35" spans="2:3">
      <c r="B35" s="111" t="s">
        <v>254</v>
      </c>
      <c r="C35" s="151">
        <v>4.4999999999999998E-2</v>
      </c>
    </row>
    <row r="36" spans="2:3">
      <c r="B36" s="111" t="s">
        <v>255</v>
      </c>
      <c r="C36" s="151">
        <v>1.35E-2</v>
      </c>
    </row>
    <row r="37" spans="2:3">
      <c r="B37" s="111" t="s">
        <v>256</v>
      </c>
      <c r="C37" s="151">
        <v>2.5000000000000001E-2</v>
      </c>
    </row>
    <row r="38" spans="2:3">
      <c r="B38" s="111" t="s">
        <v>257</v>
      </c>
      <c r="C38" s="151">
        <v>1.4999999999999999E-2</v>
      </c>
    </row>
    <row r="39" spans="2:3">
      <c r="B39" s="111" t="s">
        <v>258</v>
      </c>
      <c r="C39" s="151">
        <v>1.44E-2</v>
      </c>
    </row>
    <row r="40" spans="2:3">
      <c r="B40" s="111" t="s">
        <v>259</v>
      </c>
      <c r="C40" s="151">
        <v>0.1129</v>
      </c>
    </row>
    <row r="41" spans="2:3">
      <c r="B41" s="111" t="s">
        <v>260</v>
      </c>
      <c r="C41" s="151">
        <v>1.95E-2</v>
      </c>
    </row>
    <row r="42" spans="2:3">
      <c r="B42" s="111" t="s">
        <v>261</v>
      </c>
      <c r="C42" s="151">
        <v>2.5999999999999999E-2</v>
      </c>
    </row>
    <row r="43" spans="2:3">
      <c r="B43" s="111" t="s">
        <v>262</v>
      </c>
      <c r="C43" s="151">
        <v>0.15840000000000001</v>
      </c>
    </row>
    <row r="46" spans="2:3" ht="26">
      <c r="B46" s="187" t="s">
        <v>274</v>
      </c>
      <c r="C46" s="192" t="s">
        <v>273</v>
      </c>
    </row>
    <row r="47" spans="2:3">
      <c r="B47" s="194">
        <v>2019</v>
      </c>
      <c r="C47" s="195">
        <v>240674</v>
      </c>
    </row>
    <row r="48" spans="2:3">
      <c r="B48" s="191">
        <v>2020</v>
      </c>
      <c r="C48" s="193">
        <v>234772</v>
      </c>
    </row>
    <row r="49" spans="2:4">
      <c r="B49" s="191">
        <f>B48+1</f>
        <v>2021</v>
      </c>
      <c r="C49" s="189">
        <v>267083</v>
      </c>
    </row>
    <row r="50" spans="2:4">
      <c r="B50" s="191">
        <f t="shared" ref="B50:B53" si="0">B49+1</f>
        <v>2022</v>
      </c>
      <c r="C50" s="188">
        <v>275832</v>
      </c>
    </row>
    <row r="51" spans="2:4">
      <c r="B51" s="191">
        <f t="shared" si="0"/>
        <v>2023</v>
      </c>
      <c r="C51" s="189">
        <v>291428</v>
      </c>
    </row>
    <row r="52" spans="2:4">
      <c r="B52" s="191">
        <f t="shared" si="0"/>
        <v>2024</v>
      </c>
      <c r="C52" s="188">
        <v>305374</v>
      </c>
    </row>
    <row r="53" spans="2:4">
      <c r="B53" s="191">
        <f t="shared" si="0"/>
        <v>2025</v>
      </c>
      <c r="C53" s="190">
        <f>C52*1.024</f>
        <v>312702.97600000002</v>
      </c>
      <c r="D53" t="s">
        <v>276</v>
      </c>
    </row>
  </sheetData>
  <mergeCells count="2">
    <mergeCell ref="C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Raw Data</vt:lpstr>
      <vt:lpstr>EL Loss model</vt:lpstr>
      <vt:lpstr>Macro Regression</vt:lpstr>
      <vt:lpstr>Stress Testing</vt:lpstr>
      <vt:lpstr>PSI Analysis</vt:lpstr>
      <vt:lpstr>Data-&gt;</vt:lpstr>
      <vt:lpstr>2025</vt:lpstr>
      <vt:lpstr>2024</vt:lpstr>
      <vt:lpstr>2023</vt:lpstr>
      <vt:lpstr>2022</vt:lpstr>
      <vt:lpstr>2021</vt:lpstr>
      <vt:lpstr>2020</vt:lpstr>
      <vt:lpstr>Macro Forcast(5y)</vt:lpstr>
      <vt:lpstr>Macro(5y Avg)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Kumar</dc:creator>
  <cp:lastModifiedBy>Shashi Kumar</cp:lastModifiedBy>
  <dcterms:created xsi:type="dcterms:W3CDTF">2026-05-18T16:19:38Z</dcterms:created>
  <dcterms:modified xsi:type="dcterms:W3CDTF">2026-05-28T20:15:12Z</dcterms:modified>
</cp:coreProperties>
</file>